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03" firstSheet="0" activeTab="1" autoFilterDateGrouping="1"/>
  </bookViews>
  <sheets>
    <sheet name="Sheet2" sheetId="1" state="visible" r:id="rId1"/>
    <sheet name="general" sheetId="2" state="visible" r:id="rId2"/>
    <sheet name="conceptoFijo" sheetId="3" state="visible" r:id="rId3"/>
    <sheet name="conceptoVariable" sheetId="4" state="visible" r:id="rId4"/>
    <sheet name="conceptoMovilidad" sheetId="5" state="visible" r:id="rId5"/>
    <sheet name="conceptoRecuperos" sheetId="6" state="visible" r:id="rId6"/>
    <sheet name="conceptoAnticipos" sheetId="7" state="visible" r:id="rId7"/>
    <sheet name="Traductor_iva" sheetId="8" state="hidden" r:id="rId8"/>
    <sheet name="Traductor_centroCosto" sheetId="9" state="hidden" r:id="rId9"/>
    <sheet name="Traductor_cliente" sheetId="10" state="hidden" r:id="rId10"/>
    <sheet name="Padrones" sheetId="11" state="visible" r:id="rId11"/>
  </sheets>
  <definedNames>
    <definedName name="_xlnm._FilterDatabase" localSheetId="1" hidden="1">'general'!$B$1:$Q$11</definedName>
    <definedName name="_xlnm._FilterDatabase" localSheetId="6" hidden="1">'conceptoAnticipos'!$B$1:$I$1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26">
    <xf numFmtId="0" fontId="0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0" fillId="2" borderId="0" pivotButton="0" quotePrefix="0" xfId="1"/>
    <xf numFmtId="49" fontId="0" fillId="0" borderId="0" pivotButton="0" quotePrefix="0" xfId="1"/>
    <xf numFmtId="49" fontId="0" fillId="0" borderId="0" pivotButton="0" quotePrefix="1" xfId="1"/>
    <xf numFmtId="49" fontId="0" fillId="2" borderId="0" pivotButton="0" quotePrefix="0" xfId="0"/>
    <xf numFmtId="49" fontId="0" fillId="0" borderId="0" pivotButton="0" quotePrefix="0" xfId="0"/>
    <xf numFmtId="2" fontId="0" fillId="0" borderId="0" pivotButton="0" quotePrefix="0" xfId="1"/>
    <xf numFmtId="164" fontId="2" fillId="0" borderId="0" pivotButton="0" quotePrefix="0" xfId="1"/>
    <xf numFmtId="0" fontId="0" fillId="3" borderId="0" pivotButton="0" quotePrefix="0" xfId="0"/>
    <xf numFmtId="164" fontId="2" fillId="3" borderId="0" pivotButton="0" quotePrefix="1" xfId="1"/>
    <xf numFmtId="164" fontId="2" fillId="4" borderId="0" pivotButton="0" quotePrefix="0" xfId="1"/>
    <xf numFmtId="49" fontId="0" fillId="5" borderId="0" pivotButton="0" quotePrefix="0" xfId="0"/>
    <xf numFmtId="49" fontId="0" fillId="5" borderId="0" pivotButton="0" quotePrefix="1" xfId="0"/>
    <xf numFmtId="0" fontId="1" fillId="4" borderId="0" pivotButton="0" quotePrefix="0" xfId="0"/>
    <xf numFmtId="0" fontId="0" fillId="4" borderId="0" pivotButton="0" quotePrefix="0" xfId="0"/>
    <xf numFmtId="14" fontId="1" fillId="0" borderId="0" pivotButton="0" quotePrefix="1" xfId="0"/>
    <xf numFmtId="0" fontId="1" fillId="0" borderId="0" pivotButton="0" quotePrefix="1" xfId="0"/>
    <xf numFmtId="49" fontId="0" fillId="0" borderId="0" pivotButton="0" quotePrefix="1" xfId="0"/>
    <xf numFmtId="164" fontId="2" fillId="3" borderId="0" pivotButton="0" quotePrefix="1" xfId="1"/>
    <xf numFmtId="164" fontId="2" fillId="0" borderId="0" pivotButton="0" quotePrefix="0" xfId="1"/>
    <xf numFmtId="164" fontId="2" fillId="4" borderId="0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C7"/>
  <sheetViews>
    <sheetView workbookViewId="0">
      <selection activeCell="C7" sqref="C7"/>
    </sheetView>
  </sheetViews>
  <sheetFormatPr baseColWidth="10" defaultColWidth="9.140625" defaultRowHeight="15"/>
  <cols>
    <col width="31.140625" bestFit="1" customWidth="1" min="3" max="3"/>
  </cols>
  <sheetData>
    <row r="1">
      <c r="B1" t="inlineStr">
        <is>
          <t>usuario</t>
        </is>
      </c>
      <c r="C1" t="inlineStr">
        <is>
          <t>empresa</t>
        </is>
      </c>
    </row>
    <row r="2">
      <c r="A2" t="inlineStr">
        <is>
          <t>A</t>
        </is>
      </c>
      <c r="B2" s="2" t="inlineStr">
        <is>
          <t>pablo</t>
        </is>
      </c>
      <c r="C2" t="inlineStr">
        <is>
          <t>Servicios Agropecuarios Cuyo S.A.</t>
        </is>
      </c>
    </row>
    <row r="3">
      <c r="B3" s="2" t="n"/>
    </row>
    <row r="7"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Q20"/>
  <sheetViews>
    <sheetView tabSelected="1" workbookViewId="0">
      <selection activeCell="G21" sqref="G21"/>
    </sheetView>
  </sheetViews>
  <sheetFormatPr baseColWidth="10" defaultColWidth="9.140625" defaultRowHeight="15"/>
  <cols>
    <col width="20.140625" bestFit="1" customWidth="1" min="2" max="2"/>
    <col width="10.7109375" bestFit="1" customWidth="1" min="3" max="3"/>
    <col width="18.42578125" bestFit="1" customWidth="1" min="4" max="4"/>
    <col width="33.5703125" bestFit="1" customWidth="1" min="5" max="5"/>
    <col width="15" bestFit="1" customWidth="1" min="6" max="6"/>
    <col width="13.7109375" bestFit="1" customWidth="1" min="7" max="7"/>
    <col width="18.85546875" bestFit="1" customWidth="1" min="8" max="8"/>
    <col width="17.28515625" bestFit="1" customWidth="1" style="16" min="9" max="9"/>
    <col width="10.7109375" customWidth="1" style="10" min="10" max="10"/>
    <col width="13.140625" bestFit="1" customWidth="1" min="11" max="11"/>
    <col width="15.140625" bestFit="1" customWidth="1" style="13" min="12" max="12"/>
    <col width="14.5703125" bestFit="1" customWidth="1" min="13" max="14"/>
    <col width="13" bestFit="1" customWidth="1" min="15" max="16"/>
    <col width="14.5703125" bestFit="1" customWidth="1" min="17" max="17"/>
  </cols>
  <sheetData>
    <row r="1">
      <c r="A1" t="inlineStr">
        <is>
          <t>i_factura</t>
        </is>
      </c>
      <c r="B1" t="inlineStr">
        <is>
          <t>i_tipoFactura</t>
        </is>
      </c>
      <c r="C1" t="inlineStr">
        <is>
          <t>i_fecha</t>
        </is>
      </c>
      <c r="D1" t="inlineStr">
        <is>
          <t>i_numeroFactura</t>
        </is>
      </c>
      <c r="E1" t="inlineStr">
        <is>
          <t>i_cliente</t>
        </is>
      </c>
      <c r="F1" t="inlineStr">
        <is>
          <t>i_jurisdiccion</t>
        </is>
      </c>
      <c r="G1" t="inlineStr">
        <is>
          <t>i_tipoVenta</t>
        </is>
      </c>
      <c r="H1" t="inlineStr">
        <is>
          <t>i_mesFacturacion</t>
        </is>
      </c>
      <c r="I1" s="16" t="inlineStr">
        <is>
          <t>i_montoControl</t>
        </is>
      </c>
      <c r="J1" s="10" t="inlineStr">
        <is>
          <t>o_montoFacturado</t>
        </is>
      </c>
      <c r="K1" t="inlineStr">
        <is>
          <t>o_asiento</t>
        </is>
      </c>
      <c r="L1" s="13" t="inlineStr">
        <is>
          <t>controlTablas</t>
        </is>
      </c>
      <c r="M1" t="inlineStr">
        <is>
          <t>Fijo</t>
        </is>
      </c>
      <c r="N1" t="inlineStr">
        <is>
          <t>Variable</t>
        </is>
      </c>
      <c r="O1" t="inlineStr">
        <is>
          <t>Movilidad</t>
        </is>
      </c>
      <c r="P1" t="inlineStr">
        <is>
          <t>Recuperos</t>
        </is>
      </c>
      <c r="Q1" t="inlineStr">
        <is>
          <t>Anticipos</t>
        </is>
      </c>
    </row>
    <row r="2">
      <c r="A2" t="inlineStr">
        <is>
          <t>SI</t>
        </is>
      </c>
      <c r="B2" t="inlineStr">
        <is>
          <t>Factura A Webservice</t>
        </is>
      </c>
      <c r="C2" s="1" t="inlineStr">
        <is>
          <t>25/03/2026</t>
        </is>
      </c>
      <c r="D2" s="1" t="inlineStr">
        <is>
          <t>0003-00001694</t>
        </is>
      </c>
      <c r="E2" t="inlineStr">
        <is>
          <t>FINCA LAS MAGDALENAS S. A. S.</t>
        </is>
      </c>
      <c r="F2" t="inlineStr">
        <is>
          <t>Mendoza</t>
        </is>
      </c>
      <c r="G2" t="inlineStr">
        <is>
          <t>Otras ventas</t>
        </is>
      </c>
      <c r="H2" s="2" t="inlineStr">
        <is>
          <t>MARZO</t>
        </is>
      </c>
      <c r="I2" s="17" t="inlineStr">
        <is>
          <t>544500</t>
        </is>
      </c>
      <c r="J2" t="inlineStr">
        <is>
          <t>544500</t>
        </is>
      </c>
      <c r="K2" t="inlineStr">
        <is>
          <t>2026-VEN-268</t>
        </is>
      </c>
      <c r="L2" s="23" t="inlineStr"/>
      <c r="M2" s="24" t="inlineStr"/>
      <c r="N2" s="24" t="inlineStr"/>
      <c r="O2" s="24" t="inlineStr"/>
      <c r="P2" s="24" t="inlineStr"/>
      <c r="Q2" s="24" t="inlineStr"/>
    </row>
    <row r="3">
      <c r="A3" t="inlineStr">
        <is>
          <t>SI</t>
        </is>
      </c>
      <c r="B3" t="inlineStr">
        <is>
          <t>Factura A Webservice</t>
        </is>
      </c>
      <c r="C3" s="1" t="inlineStr">
        <is>
          <t>25/03/2026</t>
        </is>
      </c>
      <c r="D3" s="1" t="inlineStr">
        <is>
          <t>0003-00001695</t>
        </is>
      </c>
      <c r="E3" t="inlineStr">
        <is>
          <t>FINCAS Y BODEGAS MONTECHEZ S.A.</t>
        </is>
      </c>
      <c r="F3" t="inlineStr">
        <is>
          <t>Mendoza</t>
        </is>
      </c>
      <c r="G3" t="inlineStr">
        <is>
          <t>Otras ventas</t>
        </is>
      </c>
      <c r="H3" s="2" t="inlineStr">
        <is>
          <t>MARZO</t>
        </is>
      </c>
      <c r="I3" s="17" t="inlineStr">
        <is>
          <t>181500</t>
        </is>
      </c>
      <c r="J3" t="inlineStr">
        <is>
          <t>181500</t>
        </is>
      </c>
      <c r="K3" t="inlineStr">
        <is>
          <t>2026-VEN-269</t>
        </is>
      </c>
      <c r="L3" s="23" t="inlineStr"/>
      <c r="M3" s="24" t="inlineStr"/>
      <c r="N3" s="24" t="inlineStr"/>
      <c r="O3" s="24" t="inlineStr"/>
      <c r="P3" s="24" t="inlineStr"/>
      <c r="Q3" s="24" t="inlineStr"/>
    </row>
    <row r="4">
      <c r="A4" t="inlineStr">
        <is>
          <t>SI</t>
        </is>
      </c>
      <c r="B4" t="inlineStr">
        <is>
          <t>Factura A Webservice</t>
        </is>
      </c>
      <c r="C4" s="1" t="inlineStr">
        <is>
          <t>25/03/2026</t>
        </is>
      </c>
      <c r="D4" s="1" t="inlineStr">
        <is>
          <t>0003-00001696</t>
        </is>
      </c>
      <c r="E4" t="inlineStr">
        <is>
          <t>FOA AGUAS DE ALTAMIRA</t>
        </is>
      </c>
      <c r="F4" t="inlineStr">
        <is>
          <t>Mendoza</t>
        </is>
      </c>
      <c r="G4" t="inlineStr">
        <is>
          <t>Otras ventas</t>
        </is>
      </c>
      <c r="H4" s="2" t="inlineStr">
        <is>
          <t>MARZO</t>
        </is>
      </c>
      <c r="I4" s="17" t="inlineStr">
        <is>
          <t>108900</t>
        </is>
      </c>
      <c r="J4" t="inlineStr">
        <is>
          <t>108900</t>
        </is>
      </c>
      <c r="K4" t="inlineStr">
        <is>
          <t>2026-VEN-270</t>
        </is>
      </c>
      <c r="L4" s="23" t="inlineStr"/>
      <c r="M4" s="24" t="inlineStr"/>
      <c r="N4" s="24" t="inlineStr"/>
      <c r="O4" s="24" t="inlineStr"/>
      <c r="P4" s="24" t="inlineStr"/>
      <c r="Q4" s="24" t="inlineStr"/>
    </row>
    <row r="5">
      <c r="A5" t="inlineStr">
        <is>
          <t>SI</t>
        </is>
      </c>
      <c r="B5" t="inlineStr">
        <is>
          <t>Factura A Webservice</t>
        </is>
      </c>
      <c r="C5" s="1" t="inlineStr">
        <is>
          <t>25/03/2026</t>
        </is>
      </c>
      <c r="D5" s="1" t="inlineStr">
        <is>
          <t>0003-00001697</t>
        </is>
      </c>
      <c r="E5" t="inlineStr">
        <is>
          <t>FOI TERRUÑOS DE LOS ANDES</t>
        </is>
      </c>
      <c r="F5" t="inlineStr">
        <is>
          <t>Mendoza</t>
        </is>
      </c>
      <c r="G5" t="inlineStr">
        <is>
          <t>Otras ventas</t>
        </is>
      </c>
      <c r="H5" s="2" t="inlineStr">
        <is>
          <t>MARZO</t>
        </is>
      </c>
      <c r="I5" s="17" t="inlineStr">
        <is>
          <t>1815000</t>
        </is>
      </c>
      <c r="J5" s="22" t="inlineStr">
        <is>
          <t>1815000</t>
        </is>
      </c>
      <c r="K5" t="inlineStr">
        <is>
          <t>2026-VEN-271</t>
        </is>
      </c>
      <c r="L5" s="23" t="inlineStr"/>
      <c r="M5" s="24" t="inlineStr"/>
      <c r="N5" s="24" t="inlineStr"/>
      <c r="O5" s="24" t="inlineStr"/>
      <c r="P5" s="24" t="inlineStr"/>
      <c r="Q5" s="24" t="inlineStr"/>
    </row>
    <row r="6">
      <c r="A6" t="inlineStr">
        <is>
          <t>SI</t>
        </is>
      </c>
      <c r="B6" t="inlineStr">
        <is>
          <t>Factura A Webservice</t>
        </is>
      </c>
      <c r="C6" s="1" t="inlineStr">
        <is>
          <t>25/03/2026</t>
        </is>
      </c>
      <c r="D6" s="1" t="inlineStr">
        <is>
          <t>0003-00001698</t>
        </is>
      </c>
      <c r="E6" t="inlineStr">
        <is>
          <t>GRANAR S.A.C y F.</t>
        </is>
      </c>
      <c r="F6" t="inlineStr">
        <is>
          <t>Mendoza</t>
        </is>
      </c>
      <c r="G6" t="inlineStr">
        <is>
          <t>Otras ventas</t>
        </is>
      </c>
      <c r="H6" s="2" t="inlineStr">
        <is>
          <t>MARZO</t>
        </is>
      </c>
      <c r="I6" s="17" t="inlineStr">
        <is>
          <t>1936000</t>
        </is>
      </c>
      <c r="J6" s="22" t="inlineStr">
        <is>
          <t>1936000</t>
        </is>
      </c>
      <c r="K6" s="1" t="inlineStr">
        <is>
          <t>2026-VEN-272</t>
        </is>
      </c>
      <c r="L6" s="23" t="inlineStr"/>
      <c r="M6" s="24" t="inlineStr"/>
      <c r="N6" s="24" t="inlineStr"/>
      <c r="O6" s="24" t="inlineStr"/>
      <c r="P6" s="24" t="inlineStr"/>
      <c r="Q6" s="24" t="inlineStr"/>
    </row>
    <row r="7">
      <c r="A7" t="inlineStr">
        <is>
          <t>SI</t>
        </is>
      </c>
      <c r="B7" t="inlineStr">
        <is>
          <t>Factura A Webservice</t>
        </is>
      </c>
      <c r="C7" s="1" t="inlineStr">
        <is>
          <t>25/03/2026</t>
        </is>
      </c>
      <c r="D7" s="1" t="inlineStr">
        <is>
          <t>0003-00001699</t>
        </is>
      </c>
      <c r="E7" t="inlineStr">
        <is>
          <t>LLORENTE HNOS SA</t>
        </is>
      </c>
      <c r="F7" t="inlineStr">
        <is>
          <t>Mendoza</t>
        </is>
      </c>
      <c r="G7" t="inlineStr">
        <is>
          <t>Otras ventas</t>
        </is>
      </c>
      <c r="H7" s="2" t="inlineStr">
        <is>
          <t>MARZO</t>
        </is>
      </c>
      <c r="I7" s="17" t="inlineStr">
        <is>
          <t>544500</t>
        </is>
      </c>
      <c r="J7" t="inlineStr">
        <is>
          <t>544500</t>
        </is>
      </c>
      <c r="K7" t="inlineStr">
        <is>
          <t>2026-VEN-273</t>
        </is>
      </c>
      <c r="L7" s="23" t="inlineStr"/>
      <c r="M7" s="24" t="inlineStr"/>
      <c r="N7" s="24" t="inlineStr"/>
      <c r="O7" s="24" t="inlineStr"/>
      <c r="P7" s="24" t="inlineStr"/>
      <c r="Q7" s="24" t="inlineStr"/>
    </row>
    <row r="8">
      <c r="A8" t="inlineStr">
        <is>
          <t>NO</t>
        </is>
      </c>
      <c r="B8" t="inlineStr">
        <is>
          <t>Factura A Webservice</t>
        </is>
      </c>
      <c r="C8" s="1" t="inlineStr">
        <is>
          <t>25/03/2026</t>
        </is>
      </c>
      <c r="D8" s="1" t="inlineStr"/>
      <c r="E8" t="inlineStr">
        <is>
          <t>LOS NATIVOS S.A.</t>
        </is>
      </c>
      <c r="F8" t="inlineStr">
        <is>
          <t>Mendoza</t>
        </is>
      </c>
      <c r="G8" t="inlineStr">
        <is>
          <t>Otras ventas</t>
        </is>
      </c>
      <c r="H8" s="2" t="inlineStr">
        <is>
          <t>MARZO</t>
        </is>
      </c>
      <c r="I8" s="17" t="inlineStr">
        <is>
          <t>726000</t>
        </is>
      </c>
      <c r="J8" t="inlineStr"/>
      <c r="K8" t="inlineStr"/>
      <c r="L8" s="23" t="inlineStr"/>
      <c r="M8" s="24" t="inlineStr"/>
      <c r="N8" s="24" t="inlineStr"/>
      <c r="O8" s="24" t="inlineStr"/>
      <c r="P8" s="24" t="inlineStr"/>
      <c r="Q8" s="24" t="inlineStr"/>
    </row>
    <row r="9">
      <c r="A9" t="inlineStr">
        <is>
          <t>SI</t>
        </is>
      </c>
      <c r="B9" t="inlineStr">
        <is>
          <t>Factura A Webservice</t>
        </is>
      </c>
      <c r="C9" s="1" t="inlineStr">
        <is>
          <t>25/03/2026</t>
        </is>
      </c>
      <c r="D9" s="1" t="inlineStr">
        <is>
          <t>0003-00001700</t>
        </is>
      </c>
      <c r="E9" t="inlineStr">
        <is>
          <t>TELLERIA JUAN GABRIEL</t>
        </is>
      </c>
      <c r="F9" t="inlineStr">
        <is>
          <t>Mendoza</t>
        </is>
      </c>
      <c r="G9" t="inlineStr">
        <is>
          <t>Otras ventas</t>
        </is>
      </c>
      <c r="H9" s="2" t="inlineStr">
        <is>
          <t>MARZO</t>
        </is>
      </c>
      <c r="I9" s="17" t="inlineStr">
        <is>
          <t>544500</t>
        </is>
      </c>
      <c r="J9" t="inlineStr">
        <is>
          <t>544500</t>
        </is>
      </c>
      <c r="K9" t="inlineStr">
        <is>
          <t>2026-VEN-274</t>
        </is>
      </c>
      <c r="L9" s="23" t="inlineStr"/>
      <c r="M9" s="24" t="inlineStr"/>
      <c r="N9" s="24" t="inlineStr"/>
      <c r="O9" s="24" t="inlineStr"/>
      <c r="P9" s="24" t="inlineStr"/>
      <c r="Q9" s="24" t="inlineStr"/>
    </row>
    <row r="10">
      <c r="C10" s="1" t="n"/>
      <c r="D10" s="1" t="n"/>
      <c r="H10" s="2" t="n"/>
      <c r="L10" s="23" t="n"/>
      <c r="M10" s="24" t="n"/>
      <c r="N10" s="24" t="n"/>
      <c r="O10" s="24" t="n"/>
      <c r="P10" s="24" t="n"/>
      <c r="Q10" s="24" t="n"/>
    </row>
    <row r="11">
      <c r="C11" s="1" t="n"/>
      <c r="D11" s="1" t="n"/>
      <c r="H11" s="21" t="n"/>
      <c r="L11" s="23" t="n"/>
      <c r="M11" s="24" t="n"/>
      <c r="N11" s="24" t="n"/>
      <c r="O11" s="24" t="n"/>
      <c r="P11" s="24" t="n"/>
      <c r="Q11" s="24" t="n"/>
    </row>
    <row r="12">
      <c r="C12" s="1" t="n"/>
      <c r="D12" s="20" t="n"/>
      <c r="H12" s="2" t="n"/>
      <c r="L12" s="23" t="n"/>
      <c r="M12" s="24" t="n"/>
      <c r="N12" s="24" t="n"/>
      <c r="O12" s="24" t="n"/>
      <c r="P12" s="24" t="n"/>
      <c r="Q12" s="24" t="n"/>
    </row>
    <row r="13">
      <c r="E13" s="3" t="n"/>
    </row>
    <row r="16">
      <c r="D16" s="3" t="n"/>
    </row>
    <row r="20">
      <c r="E20" s="3" t="n"/>
    </row>
  </sheetData>
  <autoFilter ref="B1:Q11">
    <sortState ref="B2:Q12">
      <sortCondition ref="D1:D11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K23"/>
  <sheetViews>
    <sheetView workbookViewId="0">
      <selection activeCell="F15" sqref="F15"/>
    </sheetView>
  </sheetViews>
  <sheetFormatPr baseColWidth="10" defaultRowHeight="15"/>
  <cols>
    <col width="33.5703125" bestFit="1" customWidth="1" min="1" max="1"/>
    <col width="13.42578125" bestFit="1" customWidth="1" min="2" max="2"/>
    <col width="18.7109375" bestFit="1" customWidth="1" min="3" max="3"/>
    <col width="9.7109375" bestFit="1" customWidth="1" min="4" max="4"/>
    <col width="14.5703125" bestFit="1" customWidth="1" style="7" min="5" max="5"/>
    <col width="16.140625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25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6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</row>
    <row r="2">
      <c r="I2" s="2" t="n"/>
      <c r="J2" s="25">
        <f>VALUE(E2)</f>
        <v/>
      </c>
    </row>
    <row r="3">
      <c r="I3" s="2" t="n"/>
      <c r="J3" s="25">
        <f>VALUE(E3)</f>
        <v/>
      </c>
    </row>
    <row r="4">
      <c r="I4" s="2" t="n"/>
      <c r="J4" s="25">
        <f>VALUE(E4)</f>
        <v/>
      </c>
      <c r="K4" s="11" t="n"/>
    </row>
    <row r="5">
      <c r="I5" s="2" t="n"/>
      <c r="J5" s="25">
        <f>VALUE(E5)</f>
        <v/>
      </c>
      <c r="K5" s="11" t="n"/>
    </row>
    <row r="6">
      <c r="I6" s="2" t="n"/>
      <c r="J6" s="25">
        <f>VALUE(E6)</f>
        <v/>
      </c>
      <c r="K6" s="11" t="n"/>
    </row>
    <row r="7">
      <c r="I7" s="2" t="n"/>
      <c r="J7" s="25">
        <f>VALUE(E7)</f>
        <v/>
      </c>
      <c r="K7" s="11" t="n"/>
    </row>
    <row r="8">
      <c r="E8" s="8" t="n"/>
      <c r="I8" s="2" t="n"/>
      <c r="J8" s="25">
        <f>VALUE(E8)</f>
        <v/>
      </c>
    </row>
    <row r="9">
      <c r="E9" s="8" t="n"/>
      <c r="I9" s="2" t="n"/>
      <c r="J9" s="25">
        <f>VALUE(E9)</f>
        <v/>
      </c>
    </row>
    <row r="10">
      <c r="E10" s="8" t="n"/>
      <c r="I10" s="2" t="n"/>
      <c r="J10" s="25">
        <f>VALUE(E10)</f>
        <v/>
      </c>
    </row>
    <row r="11">
      <c r="E11" s="8" t="n"/>
      <c r="I11" s="2" t="n"/>
      <c r="J11" s="25">
        <f>VALUE(E11)</f>
        <v/>
      </c>
    </row>
    <row r="12">
      <c r="I12" s="2" t="n"/>
      <c r="J12" s="25">
        <f>VALUE(E12)</f>
        <v/>
      </c>
    </row>
    <row r="13">
      <c r="I13" s="2" t="n"/>
      <c r="J13" s="25">
        <f>VALUE(E13)</f>
        <v/>
      </c>
    </row>
    <row r="14">
      <c r="I14" s="2" t="n"/>
      <c r="J14" s="25">
        <f>VALUE(E14)</f>
        <v/>
      </c>
    </row>
    <row r="15">
      <c r="I15" s="2" t="n"/>
      <c r="J15" s="25">
        <f>VALUE(E15)</f>
        <v/>
      </c>
    </row>
    <row r="16">
      <c r="I16" s="2" t="n"/>
      <c r="J16" s="25">
        <f>VALUE(E16)</f>
        <v/>
      </c>
    </row>
    <row r="17">
      <c r="I17" s="2" t="n"/>
      <c r="J17" s="25">
        <f>VALUE(E17)</f>
        <v/>
      </c>
    </row>
    <row r="18">
      <c r="I18" s="2" t="n"/>
      <c r="J18" s="25">
        <f>VALUE(E18)</f>
        <v/>
      </c>
    </row>
    <row r="19">
      <c r="I19" s="2" t="n"/>
      <c r="J19" s="25">
        <f>VALUE(E19)</f>
        <v/>
      </c>
    </row>
    <row r="20">
      <c r="I20" s="2" t="n"/>
      <c r="J20" s="25">
        <f>VALUE(E20)</f>
        <v/>
      </c>
    </row>
    <row r="21">
      <c r="I21" s="2" t="n"/>
      <c r="J21" s="25">
        <f>VALUE(E21)</f>
        <v/>
      </c>
    </row>
    <row r="22">
      <c r="I22" s="2" t="n"/>
      <c r="J22" s="25">
        <f>VALUE(E22)</f>
        <v/>
      </c>
    </row>
    <row r="23">
      <c r="I23" s="2" t="n"/>
      <c r="J23" s="25">
        <f>VALUE(E23)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1:L19"/>
  <sheetViews>
    <sheetView workbookViewId="0">
      <selection activeCell="H38" sqref="H38"/>
    </sheetView>
  </sheetViews>
  <sheetFormatPr baseColWidth="10" defaultRowHeight="15"/>
  <cols>
    <col width="33.5703125" bestFit="1" customWidth="1" min="1" max="1"/>
    <col width="13.42578125" bestFit="1" customWidth="1" min="2" max="2"/>
    <col width="15.5703125" bestFit="1" customWidth="1" min="3" max="3"/>
    <col width="9.7109375" bestFit="1" customWidth="1" min="4" max="4"/>
    <col width="14" bestFit="1" customWidth="1" style="7" min="5" max="5"/>
    <col width="14.7109375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18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</row>
    <row r="2">
      <c r="I2" s="2" t="n"/>
      <c r="J2" s="25">
        <f>VALUE(E2)</f>
        <v/>
      </c>
    </row>
    <row r="3">
      <c r="I3" s="2" t="n"/>
      <c r="J3" s="25">
        <f>VALUE(E3)</f>
        <v/>
      </c>
      <c r="L3" s="11" t="n"/>
    </row>
    <row r="4">
      <c r="I4" s="2" t="n"/>
      <c r="J4" s="25">
        <f>VALUE(E4)</f>
        <v/>
      </c>
      <c r="L4" s="11" t="n"/>
    </row>
    <row r="5">
      <c r="I5" s="2" t="n"/>
      <c r="J5" s="25">
        <f>VALUE(E5)</f>
        <v/>
      </c>
    </row>
    <row r="6">
      <c r="I6" s="2" t="n"/>
      <c r="J6" s="25">
        <f>VALUE(E6)</f>
        <v/>
      </c>
    </row>
    <row r="7">
      <c r="I7" s="2" t="n"/>
      <c r="J7" s="25">
        <f>VALUE(E7)</f>
        <v/>
      </c>
    </row>
    <row r="8">
      <c r="I8" s="2" t="n"/>
      <c r="J8" s="25">
        <f>VALUE(E8)</f>
        <v/>
      </c>
    </row>
    <row r="9">
      <c r="I9" s="2" t="n"/>
      <c r="J9" s="25">
        <f>VALUE(E9)</f>
        <v/>
      </c>
    </row>
    <row r="10">
      <c r="I10" s="2" t="n"/>
      <c r="J10" s="25">
        <f>VALUE(E10)</f>
        <v/>
      </c>
    </row>
    <row r="11">
      <c r="I11" s="2" t="n"/>
      <c r="J11" s="25">
        <f>VALUE(E11)</f>
        <v/>
      </c>
    </row>
    <row r="12">
      <c r="I12" s="2" t="n"/>
      <c r="J12" s="25">
        <f>VALUE(E12)</f>
        <v/>
      </c>
    </row>
    <row r="19">
      <c r="C19" s="3" t="n"/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Hoja5">
    <outlinePr summaryBelow="1" summaryRight="1"/>
    <pageSetUpPr/>
  </sheetPr>
  <dimension ref="A1:K12"/>
  <sheetViews>
    <sheetView workbookViewId="0">
      <selection activeCell="G13" sqref="G13"/>
    </sheetView>
  </sheetViews>
  <sheetFormatPr baseColWidth="10" defaultRowHeight="15"/>
  <cols>
    <col width="33.5703125" bestFit="1" customWidth="1" min="1" max="1"/>
    <col width="22.140625" bestFit="1" customWidth="1" min="2" max="2"/>
    <col width="9.7109375" bestFit="1" customWidth="1" min="3" max="3"/>
    <col width="14" bestFit="1" customWidth="1" style="10" min="4" max="4"/>
    <col width="20" bestFit="1" customWidth="1" min="5" max="5"/>
    <col width="10.28515625" bestFit="1" customWidth="1" min="6" max="6"/>
    <col width="10.7109375" bestFit="1" customWidth="1" min="7" max="7"/>
    <col width="16.7109375" bestFit="1" customWidth="1" min="8" max="8"/>
    <col width="17" bestFit="1" customWidth="1" style="19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9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25" t="inlineStr">
        <is>
          <t>formatoNumero</t>
        </is>
      </c>
    </row>
    <row r="2">
      <c r="D2" s="7" t="n"/>
      <c r="H2" s="2" t="n"/>
      <c r="I2" s="25">
        <f>VALUE(D2)</f>
        <v/>
      </c>
      <c r="K2" s="7" t="n"/>
    </row>
    <row r="3">
      <c r="D3" s="7" t="n"/>
      <c r="H3" s="2" t="n"/>
      <c r="I3" s="25">
        <f>VALUE(D3)</f>
        <v/>
      </c>
      <c r="K3" s="7" t="n"/>
    </row>
    <row r="4">
      <c r="D4" s="7" t="n"/>
      <c r="H4" s="2" t="n"/>
      <c r="I4" s="25">
        <f>VALUE(D4)</f>
        <v/>
      </c>
      <c r="K4" s="7" t="n"/>
    </row>
    <row r="5">
      <c r="D5" s="7" t="n"/>
      <c r="H5" s="2" t="n"/>
      <c r="I5" s="25">
        <f>VALUE(D5)</f>
        <v/>
      </c>
      <c r="K5" s="7" t="n"/>
    </row>
    <row r="6">
      <c r="D6" s="7" t="n"/>
      <c r="H6" s="2" t="n"/>
      <c r="I6" s="25">
        <f>VALUE(D6)</f>
        <v/>
      </c>
      <c r="K6" s="7" t="n"/>
    </row>
    <row r="7">
      <c r="D7" s="7" t="n"/>
      <c r="H7" s="2" t="n"/>
      <c r="I7" s="25">
        <f>VALUE(D7)</f>
        <v/>
      </c>
      <c r="K7" s="7" t="n"/>
    </row>
    <row r="8">
      <c r="D8" s="7" t="n"/>
      <c r="H8" s="2" t="n"/>
      <c r="I8" s="25">
        <f>VALUE(D8)</f>
        <v/>
      </c>
      <c r="K8" s="7" t="n"/>
    </row>
    <row r="9">
      <c r="D9" s="7" t="n"/>
      <c r="H9" s="2" t="n"/>
      <c r="I9" s="25">
        <f>VALUE(D9)</f>
        <v/>
      </c>
      <c r="K9" s="7" t="n"/>
    </row>
    <row r="10">
      <c r="D10" s="7" t="n"/>
      <c r="H10" s="2" t="n"/>
      <c r="I10" s="25">
        <f>VALUE(D10)</f>
        <v/>
      </c>
      <c r="K10" s="7" t="n"/>
    </row>
    <row r="11">
      <c r="D11" s="7" t="n"/>
      <c r="H11" s="2" t="n"/>
      <c r="I11" s="25">
        <f>VALUE(D11)</f>
        <v/>
      </c>
      <c r="K11" s="7" t="n"/>
    </row>
    <row r="12">
      <c r="D12" s="7" t="n"/>
      <c r="H12" s="2" t="n"/>
      <c r="I12" s="25">
        <f>VALUE(D12)</f>
        <v/>
      </c>
      <c r="K12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6">
    <outlinePr summaryBelow="1" summaryRight="1"/>
    <pageSetUpPr/>
  </sheetPr>
  <dimension ref="A1:J11"/>
  <sheetViews>
    <sheetView workbookViewId="0">
      <selection activeCell="G12" sqref="G12"/>
    </sheetView>
  </sheetViews>
  <sheetFormatPr baseColWidth="10" defaultColWidth="11.5703125" defaultRowHeight="15"/>
  <cols>
    <col width="33.5703125" bestFit="1" customWidth="1" min="2" max="2"/>
    <col width="33.5703125" customWidth="1" min="3" max="3"/>
    <col width="9.7109375" bestFit="1" customWidth="1" min="4" max="4"/>
    <col width="14" bestFit="1" customWidth="1" style="10" min="5" max="5"/>
    <col width="28.42578125" bestFit="1" customWidth="1" min="6" max="6"/>
    <col width="16.7109375" bestFit="1" customWidth="1" min="9" max="9"/>
    <col width="17" bestFit="1" customWidth="1" style="19" min="10" max="10"/>
  </cols>
  <sheetData>
    <row r="1">
      <c r="A1" t="inlineStr">
        <is>
          <t>i_factura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</row>
    <row r="2">
      <c r="F2" s="5" t="n"/>
      <c r="I2" s="2" t="n"/>
      <c r="J2" s="25">
        <f>VALUE(E2)</f>
        <v/>
      </c>
    </row>
    <row r="3">
      <c r="F3" s="5" t="n"/>
      <c r="I3" s="2" t="n"/>
      <c r="J3" s="25">
        <f>VALUE(E3)</f>
        <v/>
      </c>
    </row>
    <row r="4">
      <c r="I4" s="2" t="n"/>
      <c r="J4" s="25">
        <f>VALUE(E4)</f>
        <v/>
      </c>
    </row>
    <row r="5">
      <c r="I5" s="2" t="n"/>
      <c r="J5" s="25">
        <f>VALUE(E5)</f>
        <v/>
      </c>
    </row>
    <row r="6">
      <c r="I6" s="2" t="n"/>
      <c r="J6" s="25">
        <f>VALUE(E6)</f>
        <v/>
      </c>
    </row>
    <row r="7">
      <c r="I7" s="2" t="n"/>
      <c r="J7" s="25">
        <f>VALUE(E7)</f>
        <v/>
      </c>
    </row>
    <row r="8">
      <c r="I8" s="2" t="n"/>
      <c r="J8" s="25">
        <f>VALUE(E8)</f>
        <v/>
      </c>
    </row>
    <row r="9">
      <c r="I9" s="2" t="n"/>
      <c r="J9" s="25">
        <f>VALUE(E9)</f>
        <v/>
      </c>
    </row>
    <row r="10">
      <c r="I10" s="2" t="n"/>
      <c r="J10" s="25">
        <f>VALUE(E10)</f>
        <v/>
      </c>
    </row>
    <row r="11">
      <c r="I11" s="2" t="n"/>
      <c r="J11" s="25">
        <f>VALUE(E11)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Hoja7">
    <outlinePr summaryBelow="1" summaryRight="1"/>
    <pageSetUpPr/>
  </sheetPr>
  <dimension ref="A1:J21"/>
  <sheetViews>
    <sheetView workbookViewId="0">
      <selection activeCell="B8" sqref="B8"/>
    </sheetView>
  </sheetViews>
  <sheetFormatPr baseColWidth="10" defaultColWidth="11.5703125" defaultRowHeight="15"/>
  <cols>
    <col width="33.5703125" bestFit="1" customWidth="1" min="2" max="2"/>
    <col width="21.85546875" bestFit="1" customWidth="1" min="3" max="3"/>
    <col width="9.7109375" bestFit="1" customWidth="1" min="4" max="4"/>
    <col width="14" bestFit="1" customWidth="1" style="10" min="5" max="5"/>
    <col width="28.42578125" bestFit="1" customWidth="1" min="6" max="6"/>
    <col width="16.7109375" bestFit="1" customWidth="1" min="9" max="9"/>
    <col width="17" bestFit="1" customWidth="1" min="10" max="10"/>
  </cols>
  <sheetData>
    <row r="1">
      <c r="A1" t="inlineStr">
        <is>
          <t>i_anticipo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4" t="inlineStr">
        <is>
          <t>formatoNumero</t>
        </is>
      </c>
    </row>
    <row r="2">
      <c r="A2" t="inlineStr">
        <is>
          <t>SI</t>
        </is>
      </c>
      <c r="B2" t="inlineStr">
        <is>
          <t>FINCA LAS MAGDALENAS S. A. S.</t>
        </is>
      </c>
      <c r="C2" t="inlineStr">
        <is>
          <t>EST-ESTRUCTURA</t>
        </is>
      </c>
      <c r="D2" t="inlineStr">
        <is>
          <t>IVA (21%)</t>
        </is>
      </c>
      <c r="E2" s="10" t="inlineStr">
        <is>
          <t>450000</t>
        </is>
      </c>
      <c r="F2" s="5" t="inlineStr">
        <is>
          <t>ANTICIPO</t>
        </is>
      </c>
      <c r="G2" t="inlineStr">
        <is>
          <t>Concepto</t>
        </is>
      </c>
      <c r="H2" t="n">
        <v>1</v>
      </c>
      <c r="I2" s="2" t="inlineStr">
        <is>
          <t>570101009</t>
        </is>
      </c>
      <c r="J2" s="24">
        <f>VALUE(E2)</f>
        <v/>
      </c>
    </row>
    <row r="3">
      <c r="A3" t="inlineStr">
        <is>
          <t>SI</t>
        </is>
      </c>
      <c r="B3" t="inlineStr">
        <is>
          <t>FINCAS Y BODEGAS MONTECHEZ S.A.</t>
        </is>
      </c>
      <c r="C3" t="inlineStr">
        <is>
          <t>EST-ESTRUCTURA</t>
        </is>
      </c>
      <c r="D3" t="inlineStr">
        <is>
          <t>IVA (21%)</t>
        </is>
      </c>
      <c r="E3" s="10" t="inlineStr">
        <is>
          <t>150000</t>
        </is>
      </c>
      <c r="F3" s="5" t="inlineStr">
        <is>
          <t>ANTICIPO</t>
        </is>
      </c>
      <c r="G3" t="inlineStr">
        <is>
          <t>Concepto</t>
        </is>
      </c>
      <c r="H3" t="n">
        <v>1</v>
      </c>
      <c r="I3" s="2" t="inlineStr">
        <is>
          <t>570101009</t>
        </is>
      </c>
      <c r="J3" s="24">
        <f>VALUE(E3)</f>
        <v/>
      </c>
    </row>
    <row r="4">
      <c r="A4" t="inlineStr">
        <is>
          <t>SI</t>
        </is>
      </c>
      <c r="B4" t="inlineStr">
        <is>
          <t>FOA AGUAS DE ALTAMIRA</t>
        </is>
      </c>
      <c r="C4" t="inlineStr">
        <is>
          <t>EST-ESTRUCTURA</t>
        </is>
      </c>
      <c r="D4" t="inlineStr">
        <is>
          <t>IVA (21%)</t>
        </is>
      </c>
      <c r="E4" s="10" t="inlineStr">
        <is>
          <t>90000</t>
        </is>
      </c>
      <c r="F4" s="5" t="inlineStr">
        <is>
          <t>ANTICIPO</t>
        </is>
      </c>
      <c r="G4" t="inlineStr">
        <is>
          <t>Concepto</t>
        </is>
      </c>
      <c r="H4" t="n">
        <v>1</v>
      </c>
      <c r="I4" s="2" t="inlineStr">
        <is>
          <t>570101009</t>
        </is>
      </c>
      <c r="J4" s="24">
        <f>VALUE(E4)</f>
        <v/>
      </c>
    </row>
    <row r="5">
      <c r="A5" t="inlineStr">
        <is>
          <t>SI</t>
        </is>
      </c>
      <c r="B5" t="inlineStr">
        <is>
          <t>FOI TERRUÑOS DE LOS ANDES</t>
        </is>
      </c>
      <c r="C5" t="inlineStr">
        <is>
          <t>EST-ESTRUCTURA</t>
        </is>
      </c>
      <c r="D5" t="inlineStr">
        <is>
          <t>IVA (21%)</t>
        </is>
      </c>
      <c r="E5" s="10" t="inlineStr">
        <is>
          <t>1500000</t>
        </is>
      </c>
      <c r="F5" s="5" t="inlineStr">
        <is>
          <t>ANTICIPO</t>
        </is>
      </c>
      <c r="G5" t="inlineStr">
        <is>
          <t>Concepto</t>
        </is>
      </c>
      <c r="H5" t="n">
        <v>1</v>
      </c>
      <c r="I5" s="2" t="inlineStr">
        <is>
          <t>570101009</t>
        </is>
      </c>
      <c r="J5" s="24">
        <f>VALUE(E5)</f>
        <v/>
      </c>
    </row>
    <row r="6">
      <c r="A6" t="inlineStr">
        <is>
          <t>SI</t>
        </is>
      </c>
      <c r="B6" t="inlineStr">
        <is>
          <t>GRANAR S.A.C y F.</t>
        </is>
      </c>
      <c r="C6" t="inlineStr">
        <is>
          <t>EST-ESTRUCTURA</t>
        </is>
      </c>
      <c r="D6" t="inlineStr">
        <is>
          <t>IVA (21%)</t>
        </is>
      </c>
      <c r="E6" s="10" t="inlineStr">
        <is>
          <t>1000000</t>
        </is>
      </c>
      <c r="F6" s="5" t="inlineStr">
        <is>
          <t>ANTICIPO</t>
        </is>
      </c>
      <c r="G6" t="inlineStr">
        <is>
          <t>Concepto</t>
        </is>
      </c>
      <c r="H6" t="n">
        <v>1</v>
      </c>
      <c r="I6" s="2" t="inlineStr">
        <is>
          <t>570101009</t>
        </is>
      </c>
      <c r="J6" s="24">
        <f>VALUE(E6)</f>
        <v/>
      </c>
    </row>
    <row r="7">
      <c r="A7" t="inlineStr">
        <is>
          <t>SI</t>
        </is>
      </c>
      <c r="B7" t="inlineStr">
        <is>
          <t>LLORENTE HNOS SA</t>
        </is>
      </c>
      <c r="C7" t="inlineStr">
        <is>
          <t>EST-ESTRUCTURA</t>
        </is>
      </c>
      <c r="D7" t="inlineStr">
        <is>
          <t>IVA (21%)</t>
        </is>
      </c>
      <c r="E7" s="10" t="inlineStr">
        <is>
          <t>450000</t>
        </is>
      </c>
      <c r="F7" s="5" t="inlineStr">
        <is>
          <t>ANTICIPO</t>
        </is>
      </c>
      <c r="G7" t="inlineStr">
        <is>
          <t>Concepto</t>
        </is>
      </c>
      <c r="H7" t="n">
        <v>1</v>
      </c>
      <c r="I7" s="2" t="inlineStr">
        <is>
          <t>570101009</t>
        </is>
      </c>
      <c r="J7" s="24">
        <f>VALUE(E7)</f>
        <v/>
      </c>
    </row>
    <row r="8">
      <c r="A8" t="inlineStr">
        <is>
          <t>SI</t>
        </is>
      </c>
      <c r="B8" t="inlineStr">
        <is>
          <t>GRANAR S.A.C y F.</t>
        </is>
      </c>
      <c r="C8" t="inlineStr">
        <is>
          <t>EST-ESTRUCTURA</t>
        </is>
      </c>
      <c r="D8" t="inlineStr">
        <is>
          <t>IVA (21%)</t>
        </is>
      </c>
      <c r="E8" s="10" t="inlineStr">
        <is>
          <t>600000</t>
        </is>
      </c>
      <c r="F8" s="5" t="inlineStr">
        <is>
          <t>ANTICIPO (LN)</t>
        </is>
      </c>
      <c r="G8" t="inlineStr">
        <is>
          <t>Concepto</t>
        </is>
      </c>
      <c r="H8" t="n">
        <v>1</v>
      </c>
      <c r="I8" s="2" t="inlineStr">
        <is>
          <t>570101009</t>
        </is>
      </c>
      <c r="J8" s="24">
        <f>VALUE(E8)</f>
        <v/>
      </c>
    </row>
    <row r="9">
      <c r="A9" t="inlineStr">
        <is>
          <t>SI</t>
        </is>
      </c>
      <c r="B9" t="inlineStr">
        <is>
          <t>TELLERIA JUAN GABRIEL</t>
        </is>
      </c>
      <c r="C9" t="inlineStr">
        <is>
          <t>EST-ESTRUCTURA</t>
        </is>
      </c>
      <c r="D9" t="inlineStr">
        <is>
          <t>IVA (21%)</t>
        </is>
      </c>
      <c r="E9" s="10" t="inlineStr">
        <is>
          <t>450000</t>
        </is>
      </c>
      <c r="F9" s="5" t="inlineStr">
        <is>
          <t>ANTICIPO</t>
        </is>
      </c>
      <c r="G9" t="inlineStr">
        <is>
          <t>Concepto</t>
        </is>
      </c>
      <c r="H9" t="n">
        <v>1</v>
      </c>
      <c r="I9" s="2" t="inlineStr">
        <is>
          <t>570101009</t>
        </is>
      </c>
      <c r="J9" s="24">
        <f>VALUE(E9)</f>
        <v/>
      </c>
    </row>
    <row r="21">
      <c r="F21" s="3" t="n"/>
    </row>
  </sheetData>
  <autoFilter ref="B1:I1">
    <sortState ref="B2:I9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Hoja8">
    <outlinePr summaryBelow="1" summaryRight="1"/>
    <pageSetUpPr/>
  </sheetPr>
  <dimension ref="A1:C3"/>
  <sheetViews>
    <sheetView workbookViewId="0">
      <selection activeCell="L17" sqref="L17"/>
    </sheetView>
  </sheetViews>
  <sheetFormatPr baseColWidth="10" defaultRowHeight="15"/>
  <sheetData>
    <row r="1">
      <c r="A1" t="inlineStr">
        <is>
          <t>t_alicuota</t>
        </is>
      </c>
      <c r="B1" t="inlineStr">
        <is>
          <t>i_iva</t>
        </is>
      </c>
      <c r="C1" s="3" t="n"/>
    </row>
    <row r="2">
      <c r="A2" t="n">
        <v>0.105</v>
      </c>
      <c r="B2" t="inlineStr">
        <is>
          <t>IVA (10.5%)</t>
        </is>
      </c>
      <c r="C2" s="3" t="n"/>
    </row>
    <row r="3">
      <c r="A3" t="n">
        <v>0.21</v>
      </c>
      <c r="B3" t="inlineStr">
        <is>
          <t>IVA (21%)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Hoja9">
    <outlinePr summaryBelow="1" summaryRight="1"/>
    <pageSetUpPr/>
  </sheetPr>
  <dimension ref="A1:B3"/>
  <sheetViews>
    <sheetView workbookViewId="0">
      <selection activeCell="G16" sqref="G16"/>
    </sheetView>
  </sheetViews>
  <sheetFormatPr baseColWidth="10" defaultRowHeight="15"/>
  <cols>
    <col width="13.42578125" bestFit="1" customWidth="1" min="1" max="1"/>
    <col width="21.85546875" bestFit="1" customWidth="1" min="2" max="2"/>
  </cols>
  <sheetData>
    <row r="1">
      <c r="A1" t="inlineStr">
        <is>
          <t>t_centroCosto</t>
        </is>
      </c>
      <c r="B1" t="inlineStr">
        <is>
          <t>i_centroCosto</t>
        </is>
      </c>
    </row>
    <row r="2">
      <c r="A2" t="inlineStr">
        <is>
          <t>altamira</t>
        </is>
      </c>
      <c r="B2" t="inlineStr">
        <is>
          <t>2-MODULO ALTAMIRA</t>
        </is>
      </c>
    </row>
    <row r="3">
      <c r="A3" t="inlineStr">
        <is>
          <t>ugarteche</t>
        </is>
      </c>
      <c r="B3" t="inlineStr">
        <is>
          <t>1-MODULO UGARTECHE</t>
        </is>
      </c>
    </row>
  </sheetData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Hoja10">
    <outlinePr summaryBelow="1" summaryRight="1"/>
    <pageSetUpPr/>
  </sheetPr>
  <dimension ref="A1:B13"/>
  <sheetViews>
    <sheetView workbookViewId="0">
      <selection activeCell="A2" sqref="A2:A13"/>
    </sheetView>
  </sheetViews>
  <sheetFormatPr baseColWidth="10" defaultRowHeight="15"/>
  <cols>
    <col width="33.5703125" bestFit="1" customWidth="1" min="1" max="1"/>
    <col width="25.42578125" bestFit="1" customWidth="1" min="2" max="3"/>
  </cols>
  <sheetData>
    <row r="1">
      <c r="A1" t="inlineStr">
        <is>
          <t>i_cliente</t>
        </is>
      </c>
      <c r="B1" t="inlineStr">
        <is>
          <t>t_cliente</t>
        </is>
      </c>
    </row>
    <row r="2">
      <c r="A2" t="inlineStr">
        <is>
          <t>FOA AGUAS DE ALTAMIRA</t>
        </is>
      </c>
      <c r="B2" t="inlineStr">
        <is>
          <t>FOA Aguas de Altamira</t>
        </is>
      </c>
    </row>
    <row r="3">
      <c r="A3" t="inlineStr">
        <is>
          <t>FOI TERRUÑOS DE LOS ANDES</t>
        </is>
      </c>
      <c r="B3" t="inlineStr">
        <is>
          <t>FOI TerruÃ±os de los Andes</t>
        </is>
      </c>
    </row>
    <row r="4">
      <c r="A4" t="inlineStr">
        <is>
          <t>GRANAR S.A.C y F.</t>
        </is>
      </c>
      <c r="B4" t="inlineStr">
        <is>
          <t>Granar SACyF</t>
        </is>
      </c>
    </row>
    <row r="5">
      <c r="A5" t="inlineStr">
        <is>
          <t>LLORENTE HNOS SA</t>
        </is>
      </c>
      <c r="B5" t="inlineStr">
        <is>
          <t>Llorente Hnos SA</t>
        </is>
      </c>
    </row>
    <row r="6">
      <c r="A6" t="inlineStr">
        <is>
          <t>LOS NATIVOS S.A.</t>
        </is>
      </c>
      <c r="B6" t="inlineStr">
        <is>
          <t>Los Nativos SA</t>
        </is>
      </c>
    </row>
    <row r="7">
      <c r="A7" t="inlineStr">
        <is>
          <t>FINCAS Y BODEGAS MONTECHEZ S.A.</t>
        </is>
      </c>
      <c r="B7" t="inlineStr">
        <is>
          <t>Montechez</t>
        </is>
      </c>
    </row>
    <row r="8">
      <c r="A8" t="inlineStr">
        <is>
          <t>FINCA LAS MAGDALENAS S. A. S.</t>
        </is>
      </c>
      <c r="B8" t="inlineStr">
        <is>
          <t>Sona Aldo Guillermo</t>
        </is>
      </c>
    </row>
    <row r="9">
      <c r="A9" t="inlineStr">
        <is>
          <t>TELLERIA JUAN GABRIEL</t>
        </is>
      </c>
      <c r="B9" t="inlineStr">
        <is>
          <t>Telleria Juan Gabriel</t>
        </is>
      </c>
    </row>
    <row r="10">
      <c r="A10" t="inlineStr">
        <is>
          <t>AGRISUS SA</t>
        </is>
      </c>
      <c r="B10" t="inlineStr">
        <is>
          <t>Agrisus</t>
        </is>
      </c>
    </row>
    <row r="11">
      <c r="A11" t="inlineStr">
        <is>
          <t xml:space="preserve">A &amp; T Y ASOCIADOS SA </t>
        </is>
      </c>
      <c r="B11" t="inlineStr">
        <is>
          <t>AyT</t>
        </is>
      </c>
    </row>
    <row r="12">
      <c r="A12" t="inlineStr">
        <is>
          <t>CABALGANDO SAFI</t>
        </is>
      </c>
      <c r="B12" t="inlineStr">
        <is>
          <t>Cabalgando</t>
        </is>
      </c>
    </row>
    <row r="13">
      <c r="A13" t="inlineStr">
        <is>
          <t>GRANAR S.A.C y F.</t>
        </is>
      </c>
      <c r="B13" t="inlineStr">
        <is>
          <t>Granar SACyF (AB)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Hoja11">
    <outlinePr summaryBelow="1" summaryRight="1"/>
    <pageSetUpPr/>
  </sheetPr>
  <dimension ref="A1:D15"/>
  <sheetViews>
    <sheetView workbookViewId="0">
      <selection activeCell="D2" sqref="D2"/>
    </sheetView>
  </sheetViews>
  <sheetFormatPr baseColWidth="10" defaultRowHeight="15"/>
  <cols>
    <col width="37.85546875" bestFit="1" customWidth="1" min="1" max="1"/>
    <col width="31" bestFit="1" customWidth="1" min="3" max="3"/>
  </cols>
  <sheetData>
    <row r="1">
      <c r="A1" t="inlineStr">
        <is>
          <t>TipoFactura</t>
        </is>
      </c>
      <c r="B1" t="inlineStr">
        <is>
          <t>IVA</t>
        </is>
      </c>
      <c r="C1" t="inlineStr">
        <is>
          <t>CentroCostos</t>
        </is>
      </c>
      <c r="D1" t="inlineStr">
        <is>
          <t>TipoItem</t>
        </is>
      </c>
    </row>
    <row r="2">
      <c r="A2" t="inlineStr">
        <is>
          <t>Factura A</t>
        </is>
      </c>
      <c r="B2" t="inlineStr">
        <is>
          <t>IVA (10.5%)</t>
        </is>
      </c>
      <c r="C2" t="inlineStr">
        <is>
          <t>1-MODULO UGARTECHE</t>
        </is>
      </c>
      <c r="D2" t="inlineStr">
        <is>
          <t>Concepto</t>
        </is>
      </c>
    </row>
    <row r="3">
      <c r="A3" t="inlineStr">
        <is>
          <t>Factura A Webservice</t>
        </is>
      </c>
      <c r="B3" t="inlineStr">
        <is>
          <t>IVA (21%)</t>
        </is>
      </c>
      <c r="C3" t="inlineStr">
        <is>
          <t>2-MODULO ALTAMIRA</t>
        </is>
      </c>
      <c r="D3" t="inlineStr">
        <is>
          <t>Descuento</t>
        </is>
      </c>
    </row>
    <row r="4">
      <c r="A4" t="inlineStr">
        <is>
          <t>Factura Crédito Electrónica A</t>
        </is>
      </c>
      <c r="C4" t="inlineStr">
        <is>
          <t>3-MOVILIDAD MARIANO SAVINA</t>
        </is>
      </c>
    </row>
    <row r="5">
      <c r="A5" t="inlineStr">
        <is>
          <t>Factura Crédito Electrónica A Webservice</t>
        </is>
      </c>
      <c r="C5" t="inlineStr">
        <is>
          <t>4-MOVILIDAD LEANDRO SAVINA</t>
        </is>
      </c>
    </row>
    <row r="6">
      <c r="A6" t="inlineStr">
        <is>
          <t>Nota de Crédito A</t>
        </is>
      </c>
      <c r="C6" t="inlineStr">
        <is>
          <t>5-MOVILIDAD ESTEBAN GAMUNDI</t>
        </is>
      </c>
    </row>
    <row r="7">
      <c r="A7" t="inlineStr">
        <is>
          <t>Nota de Crédito A Webservice</t>
        </is>
      </c>
      <c r="C7" t="inlineStr">
        <is>
          <t>6-FOI TERRUÑOS DE LOS ANDES</t>
        </is>
      </c>
    </row>
    <row r="8">
      <c r="C8" t="inlineStr">
        <is>
          <t>7-TELLERIA</t>
        </is>
      </c>
    </row>
    <row r="9">
      <c r="C9" t="inlineStr">
        <is>
          <t>8-SONA</t>
        </is>
      </c>
    </row>
    <row r="10">
      <c r="C10" t="inlineStr">
        <is>
          <t>9-LLORENTE</t>
        </is>
      </c>
    </row>
    <row r="11">
      <c r="C11" t="inlineStr">
        <is>
          <t>10-GRANAR</t>
        </is>
      </c>
    </row>
    <row r="12">
      <c r="C12" t="inlineStr">
        <is>
          <t>11-LOS NATIVOS</t>
        </is>
      </c>
    </row>
    <row r="13">
      <c r="C13" t="inlineStr">
        <is>
          <t>12-FOA AGUAS DE ALTAMIRA</t>
        </is>
      </c>
    </row>
    <row r="14">
      <c r="C14" t="inlineStr">
        <is>
          <t>ADM-ADMINISTRACION</t>
        </is>
      </c>
    </row>
    <row r="15">
      <c r="C15" t="inlineStr">
        <is>
          <t>EST-ESTRUCTURA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Alanis, Pablo</dc:creator>
  <dcterms:created xsi:type="dcterms:W3CDTF">2024-02-15T21:25:02Z</dcterms:created>
  <dcterms:modified xsi:type="dcterms:W3CDTF">2026-03-30T18:57:53Z</dcterms:modified>
  <cp:lastModifiedBy>Pablo Alanis</cp:lastModifiedBy>
</cp:coreProperties>
</file>