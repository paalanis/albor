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AlborAutomation\albor\DataTables\Facturacion\"/>
    </mc:Choice>
  </mc:AlternateContent>
  <xr:revisionPtr revIDLastSave="0" documentId="13_ncr:1_{737E8702-5A96-4AF8-87BD-9E59F001E1F1}" xr6:coauthVersionLast="47" xr6:coauthVersionMax="47" xr10:uidLastSave="{00000000-0000-0000-0000-000000000000}"/>
  <bookViews>
    <workbookView xWindow="-20610" yWindow="-120" windowWidth="20730" windowHeight="11040" tabRatio="903" activeTab="1" xr2:uid="{00000000-000D-0000-FFFF-FFFF00000000}"/>
  </bookViews>
  <sheets>
    <sheet name="Sheet2" sheetId="1" r:id="rId1"/>
    <sheet name="general" sheetId="2" r:id="rId2"/>
    <sheet name="Controles" sheetId="3" r:id="rId3"/>
    <sheet name="conceptoFijo" sheetId="4" r:id="rId4"/>
    <sheet name="conceptoVariable" sheetId="5" r:id="rId5"/>
    <sheet name="conceptoMovilidad" sheetId="6" r:id="rId6"/>
    <sheet name="conceptoRecuperos" sheetId="7" r:id="rId7"/>
    <sheet name="conceptoAnticipos" sheetId="8" r:id="rId8"/>
    <sheet name="Traductor_iva" sheetId="9" state="hidden" r:id="rId9"/>
    <sheet name="Traductor_centroCosto" sheetId="10" state="hidden" r:id="rId10"/>
    <sheet name="Traductor_cliente" sheetId="11" state="hidden" r:id="rId11"/>
    <sheet name="Padrones" sheetId="12" r:id="rId12"/>
  </sheets>
  <definedNames>
    <definedName name="_xlnm._FilterDatabase" localSheetId="7" hidden="1">conceptoAnticipos!$B$1:$I$1</definedName>
    <definedName name="_xlnm._FilterDatabase" localSheetId="3" hidden="1">conceptoFijo!$A$1:$J$23</definedName>
    <definedName name="_xlnm._FilterDatabase" localSheetId="6" hidden="1">conceptoRecuperos!$A$1:$J$13</definedName>
    <definedName name="_xlnm._FilterDatabase" localSheetId="2" hidden="1">Controles!$A$1:$G$13</definedName>
    <definedName name="_xlnm._FilterDatabase" localSheetId="1" hidden="1">general!$B$1:$K$11</definedName>
  </definedNames>
  <calcPr calcId="181029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2" i="3"/>
  <c r="J12" i="5" l="1"/>
  <c r="D10" i="3" s="1"/>
  <c r="J10" i="5"/>
  <c r="D5" i="3" s="1"/>
  <c r="J5" i="5"/>
  <c r="D7" i="3" s="1"/>
  <c r="J4" i="5"/>
  <c r="D11" i="3" s="1"/>
  <c r="J2" i="5"/>
  <c r="D2" i="3" s="1"/>
  <c r="J9" i="8"/>
  <c r="J8" i="8"/>
  <c r="J7" i="8"/>
  <c r="J6" i="8"/>
  <c r="J5" i="8"/>
  <c r="J4" i="8"/>
  <c r="J3" i="8"/>
  <c r="J2" i="8"/>
  <c r="J13" i="7"/>
  <c r="J12" i="7"/>
  <c r="J11" i="7"/>
  <c r="J10" i="7"/>
  <c r="J9" i="7"/>
  <c r="F5" i="3" s="1"/>
  <c r="J8" i="7"/>
  <c r="J7" i="7"/>
  <c r="J6" i="7"/>
  <c r="J5" i="7"/>
  <c r="J4" i="7"/>
  <c r="J3" i="7"/>
  <c r="J2" i="7"/>
  <c r="I12" i="6"/>
  <c r="E11" i="3" s="1"/>
  <c r="I11" i="6"/>
  <c r="I10" i="6"/>
  <c r="I9" i="6"/>
  <c r="I8" i="6"/>
  <c r="I7" i="6"/>
  <c r="I6" i="6"/>
  <c r="I5" i="6"/>
  <c r="I4" i="6"/>
  <c r="E2" i="3" s="1"/>
  <c r="I3" i="6"/>
  <c r="I2" i="6"/>
  <c r="J11" i="5"/>
  <c r="J9" i="5"/>
  <c r="D3" i="3" s="1"/>
  <c r="J8" i="5"/>
  <c r="J7" i="5"/>
  <c r="J6" i="5"/>
  <c r="J3" i="5"/>
  <c r="D9" i="3" s="1"/>
  <c r="J23" i="4"/>
  <c r="J22" i="4"/>
  <c r="J21" i="4"/>
  <c r="C8" i="3" s="1"/>
  <c r="J20" i="4"/>
  <c r="J19" i="4"/>
  <c r="J18" i="4"/>
  <c r="J17" i="4"/>
  <c r="J16" i="4"/>
  <c r="J15" i="4"/>
  <c r="J14" i="4"/>
  <c r="J13" i="4"/>
  <c r="J12" i="4"/>
  <c r="J11" i="4"/>
  <c r="C6" i="3" s="1"/>
  <c r="J10" i="4"/>
  <c r="J9" i="4"/>
  <c r="J8" i="4"/>
  <c r="J7" i="4"/>
  <c r="J6" i="4"/>
  <c r="J5" i="4"/>
  <c r="C10" i="3" s="1"/>
  <c r="J4" i="4"/>
  <c r="J3" i="4"/>
  <c r="J2" i="4"/>
  <c r="F12" i="3"/>
  <c r="E12" i="3"/>
  <c r="D12" i="3"/>
  <c r="C12" i="3"/>
  <c r="F11" i="3"/>
  <c r="C11" i="3"/>
  <c r="F10" i="3"/>
  <c r="E10" i="3"/>
  <c r="F9" i="3"/>
  <c r="E9" i="3"/>
  <c r="C9" i="3"/>
  <c r="F8" i="3"/>
  <c r="E8" i="3"/>
  <c r="D8" i="3"/>
  <c r="F7" i="3"/>
  <c r="E7" i="3"/>
  <c r="C7" i="3"/>
  <c r="F6" i="3"/>
  <c r="E6" i="3"/>
  <c r="E5" i="3"/>
  <c r="C5" i="3"/>
  <c r="F4" i="3"/>
  <c r="E4" i="3"/>
  <c r="D4" i="3"/>
  <c r="C4" i="3"/>
  <c r="F3" i="3"/>
  <c r="E3" i="3"/>
  <c r="C3" i="3"/>
  <c r="G13" i="3"/>
  <c r="F2" i="3"/>
  <c r="C2" i="3"/>
  <c r="D6" i="3" l="1"/>
  <c r="D13" i="3" s="1"/>
  <c r="B12" i="3"/>
  <c r="B8" i="3"/>
  <c r="B3" i="3"/>
  <c r="B7" i="3"/>
  <c r="B9" i="3"/>
  <c r="B10" i="3"/>
  <c r="B2" i="3"/>
  <c r="B4" i="3"/>
  <c r="E13" i="3"/>
  <c r="F13" i="3"/>
  <c r="C13" i="3"/>
  <c r="B11" i="3"/>
  <c r="B5" i="3"/>
  <c r="B6" i="3" l="1"/>
  <c r="B13" i="3" s="1"/>
</calcChain>
</file>

<file path=xl/sharedStrings.xml><?xml version="1.0" encoding="utf-8"?>
<sst xmlns="http://schemas.openxmlformats.org/spreadsheetml/2006/main" count="696" uniqueCount="189">
  <si>
    <t>usuario</t>
  </si>
  <si>
    <t>empresa</t>
  </si>
  <si>
    <t>A</t>
  </si>
  <si>
    <t>pablo</t>
  </si>
  <si>
    <t>Servicios Agropecuarios Cuyo S.A.</t>
  </si>
  <si>
    <t>i_factura</t>
  </si>
  <si>
    <t>i_tipoFactura</t>
  </si>
  <si>
    <t>i_fecha</t>
  </si>
  <si>
    <t>i_numeroFactura</t>
  </si>
  <si>
    <t>i_cliente</t>
  </si>
  <si>
    <t>i_jurisdiccion</t>
  </si>
  <si>
    <t>i_tipoVenta</t>
  </si>
  <si>
    <t>i_mesFacturacion</t>
  </si>
  <si>
    <t>i_montoControl</t>
  </si>
  <si>
    <t>o_montoFacturado</t>
  </si>
  <si>
    <t>o_asiento</t>
  </si>
  <si>
    <t>SI</t>
  </si>
  <si>
    <t>Factura A</t>
  </si>
  <si>
    <t>FOA AGUAS DE ALTAMIRA</t>
  </si>
  <si>
    <t>Mendoza</t>
  </si>
  <si>
    <t>Otras ventas</t>
  </si>
  <si>
    <t>GRANAR S.A.C y F. (AB)</t>
  </si>
  <si>
    <t>CABALGANDO SAFI</t>
  </si>
  <si>
    <t>GRANAR S.A.C y F.</t>
  </si>
  <si>
    <t>FOI TERRUÑOS DE LOS ANDES</t>
  </si>
  <si>
    <t>FINCA LAS MAGDALENAS S. A. S.</t>
  </si>
  <si>
    <t>LOS NATIVOS S.A.</t>
  </si>
  <si>
    <t>LLORENTE HNOS SA</t>
  </si>
  <si>
    <t>FINCAS Y BODEGAS MONTECHEZ S.A.</t>
  </si>
  <si>
    <t>TELLERIA JUAN GABRIEL</t>
  </si>
  <si>
    <t>AGRISUS SA</t>
  </si>
  <si>
    <t>controlTablas</t>
  </si>
  <si>
    <t>Fijo</t>
  </si>
  <si>
    <t>Variable</t>
  </si>
  <si>
    <t>Movilidad</t>
  </si>
  <si>
    <t>Recuperos</t>
  </si>
  <si>
    <t>Anticipos</t>
  </si>
  <si>
    <t>t_cliente</t>
  </si>
  <si>
    <t>t_centroCosto</t>
  </si>
  <si>
    <t>i_finca</t>
  </si>
  <si>
    <t>t_alicuota</t>
  </si>
  <si>
    <t>i_netoGravado</t>
  </si>
  <si>
    <t>i_descripcion</t>
  </si>
  <si>
    <t>i_tipoItem</t>
  </si>
  <si>
    <t>i_unidades</t>
  </si>
  <si>
    <t>i_cuentaContable</t>
  </si>
  <si>
    <t>formatoNumero</t>
  </si>
  <si>
    <t>ugarteche</t>
  </si>
  <si>
    <t>las magdalenas</t>
  </si>
  <si>
    <t>SS FINCA</t>
  </si>
  <si>
    <t>Concepto</t>
  </si>
  <si>
    <t>414001001</t>
  </si>
  <si>
    <t>altamira</t>
  </si>
  <si>
    <t>mtcz-los blancos</t>
  </si>
  <si>
    <t>la india</t>
  </si>
  <si>
    <t>la quebrada</t>
  </si>
  <si>
    <t>los cerrillos</t>
  </si>
  <si>
    <t>la peregrina</t>
  </si>
  <si>
    <t>el pedregal</t>
  </si>
  <si>
    <t>abemar</t>
  </si>
  <si>
    <t>mari cla</t>
  </si>
  <si>
    <t>los nativos</t>
  </si>
  <si>
    <t>piedras</t>
  </si>
  <si>
    <t>LABORES FINCA</t>
  </si>
  <si>
    <t>414001003</t>
  </si>
  <si>
    <t>i_centroCosto</t>
  </si>
  <si>
    <t>i_alicuota</t>
  </si>
  <si>
    <t>ADM-ADMINISTRACION</t>
  </si>
  <si>
    <t>IVA (21%)</t>
  </si>
  <si>
    <t>SS MOVILIDAD MS-EG-MM</t>
  </si>
  <si>
    <t>NO</t>
  </si>
  <si>
    <t>1-MODULO UGARTECHE</t>
  </si>
  <si>
    <t>SS ESTACION METEOROLOGICA</t>
  </si>
  <si>
    <t>515301014</t>
  </si>
  <si>
    <t>2-MODULO ALTAMIRA</t>
  </si>
  <si>
    <t>RECUPERO COMPRAS SACSA</t>
  </si>
  <si>
    <t>590000004</t>
  </si>
  <si>
    <t>590000006</t>
  </si>
  <si>
    <t>590000002</t>
  </si>
  <si>
    <t>590000001</t>
  </si>
  <si>
    <t>590000003</t>
  </si>
  <si>
    <t>590000009</t>
  </si>
  <si>
    <t>590000005</t>
  </si>
  <si>
    <t>RECUPERO VISITA FINCA</t>
  </si>
  <si>
    <t>590000011</t>
  </si>
  <si>
    <t>RECUPERO INDEMNIZACION CARMONA</t>
  </si>
  <si>
    <t>EST-ESTRUCTURA</t>
  </si>
  <si>
    <t>450000</t>
  </si>
  <si>
    <t xml:space="preserve">ANTICIPO </t>
  </si>
  <si>
    <t>Descuento</t>
  </si>
  <si>
    <t>570101009</t>
  </si>
  <si>
    <t>150000</t>
  </si>
  <si>
    <t>90000</t>
  </si>
  <si>
    <t>1500000</t>
  </si>
  <si>
    <t>1000000</t>
  </si>
  <si>
    <t>600000</t>
  </si>
  <si>
    <t>i_iva</t>
  </si>
  <si>
    <t>IVA (10.5%)</t>
  </si>
  <si>
    <t>FOA Aguas de Altamira</t>
  </si>
  <si>
    <t>FOI TerruÃ±os de los Andes</t>
  </si>
  <si>
    <t>Granar SACyF</t>
  </si>
  <si>
    <t>Llorente Hnos SA</t>
  </si>
  <si>
    <t>Los Nativos SA</t>
  </si>
  <si>
    <t>Montechez</t>
  </si>
  <si>
    <t>Sona Aldo Guillermo</t>
  </si>
  <si>
    <t>Telleria Juan Gabriel</t>
  </si>
  <si>
    <t>Agrisus</t>
  </si>
  <si>
    <t xml:space="preserve">A &amp; T Y ASOCIADOS SA </t>
  </si>
  <si>
    <t>AyT</t>
  </si>
  <si>
    <t>Cabalgando</t>
  </si>
  <si>
    <t>Granar SACyF (AB)</t>
  </si>
  <si>
    <t>TipoFactura</t>
  </si>
  <si>
    <t>IVA</t>
  </si>
  <si>
    <t>CentroCostos</t>
  </si>
  <si>
    <t>TipoItem</t>
  </si>
  <si>
    <t>Factura A Webservice</t>
  </si>
  <si>
    <t>Factura Crédito Electrónica A</t>
  </si>
  <si>
    <t>3-MOVILIDAD MARIANO SAVINA</t>
  </si>
  <si>
    <t>Factura Crédito Electrónica A Webservice</t>
  </si>
  <si>
    <t>4-MOVILIDAD LEANDRO SAVINA</t>
  </si>
  <si>
    <t>Nota de Crédito A</t>
  </si>
  <si>
    <t>5-MOVILIDAD ESTEBAN GAMUNDI</t>
  </si>
  <si>
    <t>Nota de Crédito A Webservice</t>
  </si>
  <si>
    <t>6-FOI TERRUÑOS DE LOS ANDES</t>
  </si>
  <si>
    <t>7-TELLERIA</t>
  </si>
  <si>
    <t>8-SONA</t>
  </si>
  <si>
    <t>9-LLORENTE</t>
  </si>
  <si>
    <t>10-GRANAR</t>
  </si>
  <si>
    <t>11-LOS NATIVOS</t>
  </si>
  <si>
    <t>12-FOA AGUAS DE ALTAMIRA</t>
  </si>
  <si>
    <t>383421,14</t>
  </si>
  <si>
    <t>539960,37</t>
  </si>
  <si>
    <t>7761,56</t>
  </si>
  <si>
    <t>217323,72</t>
  </si>
  <si>
    <t>395839,62</t>
  </si>
  <si>
    <t>271654,64</t>
  </si>
  <si>
    <t>30270,09</t>
  </si>
  <si>
    <t>325985,57</t>
  </si>
  <si>
    <t>4863911,22</t>
  </si>
  <si>
    <t>211890,63</t>
  </si>
  <si>
    <t>832583,37</t>
  </si>
  <si>
    <t>1741060,34</t>
  </si>
  <si>
    <t>63389,98</t>
  </si>
  <si>
    <t>1150109,59</t>
  </si>
  <si>
    <t>569417,56</t>
  </si>
  <si>
    <t>207029,32</t>
  </si>
  <si>
    <t>322062,57</t>
  </si>
  <si>
    <t>625574,33</t>
  </si>
  <si>
    <t>1787429,94</t>
  </si>
  <si>
    <t>261932,07</t>
  </si>
  <si>
    <t>714056,75</t>
  </si>
  <si>
    <t>1307184,84</t>
  </si>
  <si>
    <t>228728,87</t>
  </si>
  <si>
    <t>646566,9</t>
  </si>
  <si>
    <t>109107,84</t>
  </si>
  <si>
    <t>308424,19</t>
  </si>
  <si>
    <t>995660,17</t>
  </si>
  <si>
    <t>1548261,32</t>
  </si>
  <si>
    <t>2637126,89</t>
  </si>
  <si>
    <t>2834317,75</t>
  </si>
  <si>
    <t>486827,77</t>
  </si>
  <si>
    <t>776148,65</t>
  </si>
  <si>
    <t>1682482,97</t>
  </si>
  <si>
    <t>1658939,92</t>
  </si>
  <si>
    <t>356644,3</t>
  </si>
  <si>
    <t>1179650,19</t>
  </si>
  <si>
    <t>550699,58</t>
  </si>
  <si>
    <t>1654655,54</t>
  </si>
  <si>
    <t>1077661,44</t>
  </si>
  <si>
    <t>2942191,16</t>
  </si>
  <si>
    <t>11129,18</t>
  </si>
  <si>
    <t>20782,9</t>
  </si>
  <si>
    <t>MAYO</t>
  </si>
  <si>
    <t>02/06/2025</t>
  </si>
  <si>
    <t>37689,4</t>
  </si>
  <si>
    <t>76174,34</t>
  </si>
  <si>
    <t>487303,41</t>
  </si>
  <si>
    <t>i_anticipo</t>
  </si>
  <si>
    <t>1034398</t>
  </si>
  <si>
    <t>2108600</t>
  </si>
  <si>
    <t>2696320</t>
  </si>
  <si>
    <t>6850850</t>
  </si>
  <si>
    <t>11565041</t>
  </si>
  <si>
    <t>2950625</t>
  </si>
  <si>
    <t>11393144</t>
  </si>
  <si>
    <t>3653703</t>
  </si>
  <si>
    <t>3571587</t>
  </si>
  <si>
    <t>2697055</t>
  </si>
  <si>
    <t>1066496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</si>
</sst>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/>
  </cellStyleXfs>
  <cellXfs count="22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1" fillId="0" borderId="0" xfId="0" applyFont="1"/>
    <xf numFmtId="0" fontId="0" fillId="2" borderId="0" xfId="0" applyFill="1"/>
    <xf numFmtId="2" fontId="0" fillId="0" borderId="0" xfId="0" applyNumberFormat="1"/>
    <xf numFmtId="0" fontId="0" fillId="2" borderId="0" xfId="1" applyNumberFormat="1" applyFont="1" applyFill="1"/>
    <xf numFmtId="49" fontId="0" fillId="0" borderId="0" xfId="1" applyNumberFormat="1" applyFont="1"/>
    <xf numFmtId="49" fontId="0" fillId="0" borderId="0" xfId="1" quotePrefix="1" applyNumberFormat="1" applyFont="1"/>
    <xf numFmtId="49" fontId="0" fillId="2" borderId="0" xfId="0" applyNumberFormat="1" applyFill="1"/>
    <xf numFmtId="49" fontId="0" fillId="0" borderId="0" xfId="0" applyNumberFormat="1"/>
    <xf numFmtId="2" fontId="0" fillId="0" borderId="0" xfId="1" applyNumberFormat="1" applyFont="1"/>
    <xf numFmtId="44" fontId="2" fillId="0" borderId="0" xfId="1"/>
    <xf numFmtId="0" fontId="0" fillId="3" borderId="0" xfId="0" applyFill="1"/>
    <xf numFmtId="44" fontId="2" fillId="3" borderId="0" xfId="1" quotePrefix="1" applyFill="1"/>
    <xf numFmtId="49" fontId="0" fillId="4" borderId="0" xfId="0" applyNumberFormat="1" applyFill="1"/>
    <xf numFmtId="49" fontId="0" fillId="4" borderId="0" xfId="0" quotePrefix="1" applyNumberFormat="1" applyFill="1"/>
    <xf numFmtId="49" fontId="0" fillId="0" borderId="0" xfId="0" quotePrefix="1" applyNumberFormat="1"/>
    <xf numFmtId="44" fontId="0" fillId="0" borderId="0" xfId="0" applyNumberFormat="1"/>
    <xf numFmtId="44" fontId="0" fillId="3" borderId="0" xfId="0" applyNumberFormat="1" applyFill="1"/>
    <xf numFmtId="0" fontId="0" fillId="5" borderId="0" xfId="0" quotePrefix="1" applyFill="1"/>
    <xf numFmtId="49" fontId="0" fillId="0" borderId="0" xfId="0" quotePrefix="1" applyNumberForma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C7"/>
  <sheetViews>
    <sheetView workbookViewId="0">
      <selection activeCell="C7" sqref="C7"/>
    </sheetView>
  </sheetViews>
  <sheetFormatPr baseColWidth="10" defaultColWidth="9.140625" defaultRowHeight="15" x14ac:dyDescent="0.25"/>
  <cols>
    <col min="3" max="3" width="31.1406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s="2" t="s">
        <v>3</v>
      </c>
      <c r="C2" t="s">
        <v>4</v>
      </c>
    </row>
    <row r="3" spans="1:3" x14ac:dyDescent="0.25">
      <c r="B3" s="2"/>
    </row>
    <row r="7" spans="1:3" x14ac:dyDescent="0.25"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K20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2" max="2" width="20.140625" bestFit="1" customWidth="1"/>
    <col min="3" max="3" width="10.7109375" bestFit="1" customWidth="1"/>
    <col min="4" max="4" width="18.42578125" bestFit="1" customWidth="1"/>
    <col min="5" max="5" width="33.5703125" bestFit="1" customWidth="1"/>
    <col min="6" max="6" width="15" bestFit="1" customWidth="1"/>
    <col min="7" max="7" width="13.7109375" bestFit="1" customWidth="1"/>
    <col min="8" max="8" width="18.85546875" bestFit="1" customWidth="1"/>
    <col min="9" max="9" width="17.28515625" style="15" bestFit="1" customWidth="1"/>
    <col min="10" max="10" width="10.7109375" style="10" customWidth="1"/>
    <col min="11" max="11" width="13.140625" bestFit="1" customWidth="1"/>
    <col min="12" max="12" width="12.5703125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12</v>
      </c>
      <c r="I1" s="15" t="s">
        <v>13</v>
      </c>
      <c r="J1" s="10" t="s">
        <v>14</v>
      </c>
      <c r="K1" t="s">
        <v>15</v>
      </c>
    </row>
    <row r="2" spans="1:11" x14ac:dyDescent="0.25">
      <c r="A2" t="s">
        <v>16</v>
      </c>
      <c r="B2" t="s">
        <v>115</v>
      </c>
      <c r="C2" s="1" t="s">
        <v>173</v>
      </c>
      <c r="D2" s="1"/>
      <c r="E2" t="s">
        <v>18</v>
      </c>
      <c r="F2" t="s">
        <v>19</v>
      </c>
      <c r="G2" t="s">
        <v>20</v>
      </c>
      <c r="H2" s="2" t="s">
        <v>172</v>
      </c>
      <c r="I2" s="15" t="s">
        <v>178</v>
      </c>
      <c r="J2"/>
    </row>
    <row r="3" spans="1:11" x14ac:dyDescent="0.25">
      <c r="A3" t="s">
        <v>16</v>
      </c>
      <c r="B3" t="s">
        <v>115</v>
      </c>
      <c r="C3" s="1" t="s">
        <v>173</v>
      </c>
      <c r="D3" s="1"/>
      <c r="E3" t="s">
        <v>21</v>
      </c>
      <c r="F3" t="s">
        <v>19</v>
      </c>
      <c r="G3" t="s">
        <v>20</v>
      </c>
      <c r="H3" s="2" t="s">
        <v>172</v>
      </c>
      <c r="I3" s="15" t="s">
        <v>179</v>
      </c>
      <c r="J3"/>
    </row>
    <row r="4" spans="1:11" x14ac:dyDescent="0.25">
      <c r="A4" t="s">
        <v>16</v>
      </c>
      <c r="B4" t="s">
        <v>115</v>
      </c>
      <c r="C4" s="1" t="s">
        <v>173</v>
      </c>
      <c r="D4" s="1"/>
      <c r="E4" t="s">
        <v>22</v>
      </c>
      <c r="F4" t="s">
        <v>19</v>
      </c>
      <c r="G4" t="s">
        <v>20</v>
      </c>
      <c r="H4" s="2" t="s">
        <v>172</v>
      </c>
      <c r="I4" s="15" t="s">
        <v>180</v>
      </c>
      <c r="J4"/>
    </row>
    <row r="5" spans="1:11" x14ac:dyDescent="0.25">
      <c r="A5" t="s">
        <v>16</v>
      </c>
      <c r="B5" t="s">
        <v>115</v>
      </c>
      <c r="C5" s="1" t="s">
        <v>173</v>
      </c>
      <c r="D5" s="1"/>
      <c r="E5" t="s">
        <v>23</v>
      </c>
      <c r="F5" t="s">
        <v>19</v>
      </c>
      <c r="G5" t="s">
        <v>20</v>
      </c>
      <c r="H5" s="2" t="s">
        <v>172</v>
      </c>
      <c r="I5" s="16" t="s">
        <v>181</v>
      </c>
      <c r="J5" s="17"/>
    </row>
    <row r="6" spans="1:11" x14ac:dyDescent="0.25">
      <c r="A6" t="s">
        <v>16</v>
      </c>
      <c r="B6" t="s">
        <v>115</v>
      </c>
      <c r="C6" s="1" t="s">
        <v>173</v>
      </c>
      <c r="D6" s="1"/>
      <c r="E6" t="s">
        <v>24</v>
      </c>
      <c r="F6" t="s">
        <v>19</v>
      </c>
      <c r="G6" t="s">
        <v>20</v>
      </c>
      <c r="H6" s="2" t="s">
        <v>172</v>
      </c>
      <c r="I6" s="16" t="s">
        <v>182</v>
      </c>
      <c r="J6" s="17"/>
      <c r="K6" s="1"/>
    </row>
    <row r="7" spans="1:11" x14ac:dyDescent="0.25">
      <c r="A7" t="s">
        <v>16</v>
      </c>
      <c r="B7" t="s">
        <v>115</v>
      </c>
      <c r="C7" s="1" t="s">
        <v>173</v>
      </c>
      <c r="D7" s="1"/>
      <c r="E7" t="s">
        <v>25</v>
      </c>
      <c r="F7" t="s">
        <v>19</v>
      </c>
      <c r="G7" t="s">
        <v>20</v>
      </c>
      <c r="H7" s="2" t="s">
        <v>172</v>
      </c>
      <c r="I7" s="15" t="s">
        <v>183</v>
      </c>
      <c r="J7"/>
    </row>
    <row r="8" spans="1:11" x14ac:dyDescent="0.25">
      <c r="A8" t="s">
        <v>16</v>
      </c>
      <c r="B8" t="s">
        <v>115</v>
      </c>
      <c r="C8" s="1" t="s">
        <v>173</v>
      </c>
      <c r="D8" s="1"/>
      <c r="E8" t="s">
        <v>26</v>
      </c>
      <c r="F8" t="s">
        <v>19</v>
      </c>
      <c r="G8" t="s">
        <v>20</v>
      </c>
      <c r="H8" s="2" t="s">
        <v>172</v>
      </c>
      <c r="I8" s="15" t="s">
        <v>184</v>
      </c>
      <c r="J8"/>
    </row>
    <row r="9" spans="1:11" x14ac:dyDescent="0.25">
      <c r="A9" t="s">
        <v>16</v>
      </c>
      <c r="B9" t="s">
        <v>115</v>
      </c>
      <c r="C9" s="1" t="s">
        <v>173</v>
      </c>
      <c r="D9" s="1"/>
      <c r="E9" t="s">
        <v>27</v>
      </c>
      <c r="F9" t="s">
        <v>19</v>
      </c>
      <c r="G9" t="s">
        <v>20</v>
      </c>
      <c r="H9" s="2" t="s">
        <v>172</v>
      </c>
      <c r="I9" s="15" t="s">
        <v>185</v>
      </c>
      <c r="J9"/>
    </row>
    <row r="10" spans="1:11" x14ac:dyDescent="0.25">
      <c r="A10" t="s">
        <v>16</v>
      </c>
      <c r="B10" t="s">
        <v>115</v>
      </c>
      <c r="C10" s="1" t="s">
        <v>173</v>
      </c>
      <c r="D10" s="1"/>
      <c r="E10" t="s">
        <v>28</v>
      </c>
      <c r="F10" t="s">
        <v>19</v>
      </c>
      <c r="G10" t="s">
        <v>20</v>
      </c>
      <c r="H10" s="2" t="s">
        <v>172</v>
      </c>
      <c r="I10" s="15" t="s">
        <v>186</v>
      </c>
      <c r="J10"/>
    </row>
    <row r="11" spans="1:11" x14ac:dyDescent="0.25">
      <c r="A11" t="s">
        <v>16</v>
      </c>
      <c r="B11" t="s">
        <v>115</v>
      </c>
      <c r="C11" s="1" t="s">
        <v>173</v>
      </c>
      <c r="D11" s="1"/>
      <c r="E11" t="s">
        <v>29</v>
      </c>
      <c r="F11" t="s">
        <v>19</v>
      </c>
      <c r="G11" t="s">
        <v>20</v>
      </c>
      <c r="H11" s="2" t="s">
        <v>172</v>
      </c>
      <c r="I11" s="15" t="s">
        <v>187</v>
      </c>
      <c r="J11"/>
    </row>
    <row r="12" spans="1:11" x14ac:dyDescent="0.25">
      <c r="A12" t="s">
        <v>16</v>
      </c>
      <c r="B12" t="s">
        <v>115</v>
      </c>
      <c r="C12" s="1" t="s">
        <v>173</v>
      </c>
      <c r="D12" s="1"/>
      <c r="E12" t="s">
        <v>30</v>
      </c>
      <c r="F12" t="s">
        <v>19</v>
      </c>
      <c r="G12" t="s">
        <v>20</v>
      </c>
      <c r="H12" s="2" t="s">
        <v>172</v>
      </c>
      <c r="I12" s="15" t="s">
        <v>188</v>
      </c>
      <c r="J12"/>
    </row>
    <row r="13" spans="1:11" x14ac:dyDescent="0.25">
      <c r="C13" s="1"/>
      <c r="D13" s="1"/>
      <c r="H13" s="2"/>
    </row>
    <row r="16" spans="1:11" x14ac:dyDescent="0.25">
      <c r="D16" s="3"/>
    </row>
    <row r="19" spans="4:5" x14ac:dyDescent="0.25">
      <c r="D19" s="3"/>
    </row>
    <row r="20" spans="4:5" x14ac:dyDescent="0.25">
      <c r="E20" s="3"/>
    </row>
  </sheetData>
  <autoFilter ref="B1:K11" xr:uid="{00000000-0009-0000-0000-000001000000}">
    <sortState xmlns:xlrd2="http://schemas.microsoft.com/office/spreadsheetml/2017/richdata2" ref="B2:K12">
      <sortCondition ref="F1:F11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D15" sqref="D15"/>
    </sheetView>
  </sheetViews>
  <sheetFormatPr baseColWidth="10" defaultRowHeight="15" x14ac:dyDescent="0.25"/>
  <cols>
    <col min="1" max="1" width="33.5703125" bestFit="1" customWidth="1"/>
    <col min="2" max="2" width="15.5703125" style="13" bestFit="1" customWidth="1"/>
    <col min="3" max="4" width="15.5703125" bestFit="1" customWidth="1"/>
    <col min="5" max="7" width="14.5703125" bestFit="1" customWidth="1"/>
  </cols>
  <sheetData>
    <row r="1" spans="1:7" x14ac:dyDescent="0.25">
      <c r="A1" t="s">
        <v>9</v>
      </c>
      <c r="B1" s="13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5">
      <c r="A2" t="s">
        <v>18</v>
      </c>
      <c r="B2" s="14">
        <f t="shared" ref="B2:B12" si="0">+C2+D2+E2-G2+F2</f>
        <v>864343.15</v>
      </c>
      <c r="C2" s="12">
        <f>SUMIF(conceptoFijo!$A:$A,A2,conceptoFijo!$J:$J)</f>
        <v>417532.03</v>
      </c>
      <c r="D2" s="12">
        <f>SUMIF(conceptoVariable!$A:$A,Controles!A2,conceptoVariable!$J:$J)</f>
        <v>383421.14</v>
      </c>
      <c r="E2" s="12">
        <f>SUMIF(conceptoMovilidad!$A:$A,A2,conceptoMovilidad!$I:$I)</f>
        <v>63389.98</v>
      </c>
      <c r="F2" s="12">
        <f>SUMIF(conceptoRecuperos!$B:$B,A2,conceptoRecuperos!$J:$J)</f>
        <v>0</v>
      </c>
      <c r="G2" s="12">
        <f>SUMIFS(conceptoAnticipos!$J:$J,conceptoAnticipos!$B:$B,Controles!A2,conceptoAnticipos!$A:$A,"SI")</f>
        <v>0</v>
      </c>
    </row>
    <row r="3" spans="1:7" x14ac:dyDescent="0.25">
      <c r="A3" t="s">
        <v>21</v>
      </c>
      <c r="B3" s="14">
        <f t="shared" si="0"/>
        <v>1773593.9000000001</v>
      </c>
      <c r="C3" s="12">
        <f>SUMIF(conceptoFijo!$A:$A,A3,conceptoFijo!$J:$J)</f>
        <v>1536294.49</v>
      </c>
      <c r="D3" s="12">
        <f>SUMIF(conceptoVariable!$A:$A,Controles!A3,conceptoVariable!$J:$J)</f>
        <v>30270.09</v>
      </c>
      <c r="E3" s="12">
        <f>SUMIF(conceptoMovilidad!$A:$A,A3,conceptoMovilidad!$I:$I)</f>
        <v>207029.32</v>
      </c>
      <c r="F3" s="12">
        <f>SUMIF(conceptoRecuperos!$B:$B,A3,conceptoRecuperos!$J:$J)</f>
        <v>0</v>
      </c>
      <c r="G3" s="12">
        <f>SUMIFS(conceptoAnticipos!$J:$J,conceptoAnticipos!$B:$B,Controles!A3,conceptoAnticipos!$A:$A,"SI")</f>
        <v>0</v>
      </c>
    </row>
    <row r="4" spans="1:7" x14ac:dyDescent="0.25">
      <c r="A4" t="s">
        <v>22</v>
      </c>
      <c r="B4" s="14">
        <f t="shared" si="0"/>
        <v>2228363.75</v>
      </c>
      <c r="C4" s="12">
        <f>SUMIF(conceptoFijo!$A:$A,A4,conceptoFijo!$J:$J)</f>
        <v>0</v>
      </c>
      <c r="D4" s="12">
        <f>SUMIF(conceptoVariable!$A:$A,Controles!A4,conceptoVariable!$J:$J)</f>
        <v>0</v>
      </c>
      <c r="E4" s="12">
        <f>SUMIF(conceptoMovilidad!$A:$A,A4,conceptoMovilidad!$I:$I)</f>
        <v>1741060.34</v>
      </c>
      <c r="F4" s="12">
        <f>SUMIF(conceptoRecuperos!$B:$B,A4,conceptoRecuperos!$J:$J)</f>
        <v>487303.41</v>
      </c>
      <c r="G4" s="12">
        <f>SUMIFS(conceptoAnticipos!$J:$J,conceptoAnticipos!$B:$B,Controles!A4,conceptoAnticipos!$A:$A,"SI")</f>
        <v>0</v>
      </c>
    </row>
    <row r="5" spans="1:7" x14ac:dyDescent="0.25">
      <c r="A5" t="s">
        <v>23</v>
      </c>
      <c r="B5" s="14">
        <f t="shared" si="0"/>
        <v>5771457.0800000001</v>
      </c>
      <c r="C5" s="12">
        <f>SUMIF(conceptoFijo!$A:$A,A5,conceptoFijo!$J:$J)</f>
        <v>4604399.3099999996</v>
      </c>
      <c r="D5" s="12">
        <f>SUMIF(conceptoVariable!$A:$A,Controles!A5,conceptoVariable!$J:$J)</f>
        <v>597640.21</v>
      </c>
      <c r="E5" s="12">
        <f>SUMIF(conceptoMovilidad!$A:$A,A5,conceptoMovilidad!$I:$I)</f>
        <v>569417.56000000006</v>
      </c>
      <c r="F5" s="12">
        <f>SUMIF(conceptoRecuperos!$B:$B,A5,conceptoRecuperos!$J:$J)</f>
        <v>0</v>
      </c>
      <c r="G5" s="12">
        <f>SUMIFS(conceptoAnticipos!$J:$J,conceptoAnticipos!$B:$B,Controles!A5,conceptoAnticipos!$A:$A,"SI")</f>
        <v>0</v>
      </c>
    </row>
    <row r="6" spans="1:7" x14ac:dyDescent="0.25">
      <c r="A6" t="s">
        <v>24</v>
      </c>
      <c r="B6" s="14">
        <f t="shared" si="0"/>
        <v>9778639.0600000005</v>
      </c>
      <c r="C6" s="12">
        <f>SUMIF(conceptoFijo!$A:$A,A6,conceptoFijo!$J:$J)</f>
        <v>8015366.1300000008</v>
      </c>
      <c r="D6" s="12">
        <f>SUMIF(conceptoVariable!$A:$A,Controles!A6,conceptoVariable!$J:$J)</f>
        <v>613163.34</v>
      </c>
      <c r="E6" s="12">
        <f>SUMIF(conceptoMovilidad!$A:$A,A6,conceptoMovilidad!$I:$I)</f>
        <v>1150109.5900000001</v>
      </c>
      <c r="F6" s="12">
        <f>SUMIF(conceptoRecuperos!$B:$B,A6,conceptoRecuperos!$J:$J)</f>
        <v>0</v>
      </c>
      <c r="G6" s="12">
        <f>SUMIFS(conceptoAnticipos!$J:$J,conceptoAnticipos!$B:$B,Controles!A6,conceptoAnticipos!$A:$A,"SI")</f>
        <v>0</v>
      </c>
    </row>
    <row r="7" spans="1:7" x14ac:dyDescent="0.25">
      <c r="A7" t="s">
        <v>25</v>
      </c>
      <c r="B7" s="14">
        <f t="shared" si="0"/>
        <v>2500497.38</v>
      </c>
      <c r="C7" s="12">
        <f>SUMIF(conceptoFijo!$A:$A,A7,conceptoFijo!$J:$J)</f>
        <v>2021241.59</v>
      </c>
      <c r="D7" s="12">
        <f>SUMIF(conceptoVariable!$A:$A,Controles!A7,conceptoVariable!$J:$J)</f>
        <v>217323.72</v>
      </c>
      <c r="E7" s="12">
        <f>SUMIF(conceptoMovilidad!$A:$A,A7,conceptoMovilidad!$I:$I)</f>
        <v>261932.07</v>
      </c>
      <c r="F7" s="12">
        <f>SUMIF(conceptoRecuperos!$B:$B,A7,conceptoRecuperos!$J:$J)</f>
        <v>0</v>
      </c>
      <c r="G7" s="12">
        <f>SUMIFS(conceptoAnticipos!$J:$J,conceptoAnticipos!$B:$B,Controles!A7,conceptoAnticipos!$A:$A,"SI")</f>
        <v>0</v>
      </c>
    </row>
    <row r="8" spans="1:7" x14ac:dyDescent="0.25">
      <c r="A8" t="s">
        <v>26</v>
      </c>
      <c r="B8" s="14">
        <f t="shared" si="0"/>
        <v>9509338.1500000004</v>
      </c>
      <c r="C8" s="12">
        <f>SUMIF(conceptoFijo!$A:$A,A8,conceptoFijo!$J:$J)</f>
        <v>4019852.6</v>
      </c>
      <c r="D8" s="12">
        <f>SUMIF(conceptoVariable!$A:$A,Controles!A8,conceptoVariable!$J:$J)</f>
        <v>4863911.22</v>
      </c>
      <c r="E8" s="12">
        <f>SUMIF(conceptoMovilidad!$A:$A,A8,conceptoMovilidad!$I:$I)</f>
        <v>625574.32999999996</v>
      </c>
      <c r="F8" s="12">
        <f>SUMIF(conceptoRecuperos!$B:$B,A8,conceptoRecuperos!$J:$J)</f>
        <v>0</v>
      </c>
      <c r="G8" s="12">
        <f>SUMIFS(conceptoAnticipos!$J:$J,conceptoAnticipos!$B:$B,Controles!A8,conceptoAnticipos!$A:$A,"SI")</f>
        <v>0</v>
      </c>
    </row>
    <row r="9" spans="1:7" x14ac:dyDescent="0.25">
      <c r="A9" t="s">
        <v>27</v>
      </c>
      <c r="B9" s="14">
        <f t="shared" si="0"/>
        <v>3067378.06</v>
      </c>
      <c r="C9" s="12">
        <f>SUMIF(conceptoFijo!$A:$A,A9,conceptoFijo!$J:$J)</f>
        <v>2205355.12</v>
      </c>
      <c r="D9" s="12">
        <f>SUMIF(conceptoVariable!$A:$A,Controles!A9,conceptoVariable!$J:$J)</f>
        <v>539960.37</v>
      </c>
      <c r="E9" s="12">
        <f>SUMIF(conceptoMovilidad!$A:$A,A9,conceptoMovilidad!$I:$I)</f>
        <v>322062.57</v>
      </c>
      <c r="F9" s="12">
        <f>SUMIF(conceptoRecuperos!$B:$B,A9,conceptoRecuperos!$J:$J)</f>
        <v>0</v>
      </c>
      <c r="G9" s="12">
        <f>SUMIFS(conceptoAnticipos!$J:$J,conceptoAnticipos!$B:$B,Controles!A9,conceptoAnticipos!$A:$A,"SI")</f>
        <v>0</v>
      </c>
    </row>
    <row r="10" spans="1:7" x14ac:dyDescent="0.25">
      <c r="A10" t="s">
        <v>28</v>
      </c>
      <c r="B10" s="14">
        <f t="shared" si="0"/>
        <v>2971573.58</v>
      </c>
      <c r="C10" s="12">
        <f>SUMIF(conceptoFijo!$A:$A,A10,conceptoFijo!$J:$J)</f>
        <v>875295.77</v>
      </c>
      <c r="D10" s="12">
        <f>SUMIF(conceptoVariable!$A:$A,Controles!A10,conceptoVariable!$J:$J)</f>
        <v>211890.63</v>
      </c>
      <c r="E10" s="12">
        <f>SUMIF(conceptoMovilidad!$A:$A,A10,conceptoMovilidad!$I:$I)</f>
        <v>1787429.94</v>
      </c>
      <c r="F10" s="12">
        <f>SUMIF(conceptoRecuperos!$B:$B,A10,conceptoRecuperos!$J:$J)</f>
        <v>96957.239999999991</v>
      </c>
      <c r="G10" s="12">
        <f>SUMIFS(conceptoAnticipos!$J:$J,conceptoAnticipos!$B:$B,Controles!A10,conceptoAnticipos!$A:$A,"SI")</f>
        <v>0</v>
      </c>
    </row>
    <row r="11" spans="1:7" x14ac:dyDescent="0.25">
      <c r="A11" t="s">
        <v>29</v>
      </c>
      <c r="B11" s="14">
        <f t="shared" si="0"/>
        <v>2290935.2200000002</v>
      </c>
      <c r="C11" s="12">
        <f>SUMIF(conceptoFijo!$A:$A,A11,conceptoFijo!$J:$J)</f>
        <v>2021241.59</v>
      </c>
      <c r="D11" s="12">
        <f>SUMIF(conceptoVariable!$A:$A,Controles!A11,conceptoVariable!$J:$J)</f>
        <v>7761.56</v>
      </c>
      <c r="E11" s="12">
        <f>SUMIF(conceptoMovilidad!$A:$A,A11,conceptoMovilidad!$I:$I)</f>
        <v>261932.07</v>
      </c>
      <c r="F11" s="12">
        <f>SUMIF(conceptoRecuperos!$B:$B,A11,conceptoRecuperos!$J:$J)</f>
        <v>0</v>
      </c>
      <c r="G11" s="12">
        <f>SUMIFS(conceptoAnticipos!$J:$J,conceptoAnticipos!$B:$B,Controles!A11,conceptoAnticipos!$A:$A,"SI")</f>
        <v>0</v>
      </c>
    </row>
    <row r="12" spans="1:7" x14ac:dyDescent="0.25">
      <c r="A12" t="s">
        <v>30</v>
      </c>
      <c r="B12" s="14">
        <f t="shared" si="0"/>
        <v>881401.95</v>
      </c>
      <c r="C12" s="12">
        <f>SUMIF(conceptoFijo!$A:$A,A12,conceptoFijo!$J:$J)</f>
        <v>0</v>
      </c>
      <c r="D12" s="12">
        <f>SUMIF(conceptoVariable!$A:$A,Controles!A12,conceptoVariable!$J:$J)</f>
        <v>0</v>
      </c>
      <c r="E12" s="12">
        <f>SUMIF(conceptoMovilidad!$A:$A,A12,conceptoMovilidad!$I:$I)</f>
        <v>832583.37</v>
      </c>
      <c r="F12" s="12">
        <f>SUMIF(conceptoRecuperos!$B:$B,A12,conceptoRecuperos!$J:$J)</f>
        <v>48818.58</v>
      </c>
      <c r="G12" s="12">
        <f>SUMIFS(conceptoAnticipos!$J:$J,conceptoAnticipos!$B:$B,Controles!A12,conceptoAnticipos!$A:$A,"SI")</f>
        <v>0</v>
      </c>
    </row>
    <row r="13" spans="1:7" x14ac:dyDescent="0.25">
      <c r="B13" s="19">
        <f t="shared" ref="B13:G13" si="1">SUM(B2:B12)</f>
        <v>41637521.280000001</v>
      </c>
      <c r="C13" s="18">
        <f t="shared" si="1"/>
        <v>25716578.630000003</v>
      </c>
      <c r="D13" s="18">
        <f t="shared" si="1"/>
        <v>7465342.2799999993</v>
      </c>
      <c r="E13" s="18">
        <f t="shared" si="1"/>
        <v>7822521.1399999997</v>
      </c>
      <c r="F13" s="18">
        <f t="shared" si="1"/>
        <v>633079.22999999986</v>
      </c>
      <c r="G13" s="18">
        <f t="shared" si="1"/>
        <v>0</v>
      </c>
    </row>
  </sheetData>
  <autoFilter ref="A1:G1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K23"/>
  <sheetViews>
    <sheetView topLeftCell="A4" workbookViewId="0">
      <selection activeCell="D24" sqref="D24"/>
    </sheetView>
  </sheetViews>
  <sheetFormatPr baseColWidth="10" defaultRowHeight="15" x14ac:dyDescent="0.25"/>
  <cols>
    <col min="1" max="1" width="33.5703125" bestFit="1" customWidth="1"/>
    <col min="2" max="2" width="13.42578125" bestFit="1" customWidth="1"/>
    <col min="3" max="3" width="18.7109375" bestFit="1" customWidth="1"/>
    <col min="4" max="4" width="12" bestFit="1" customWidth="1"/>
    <col min="5" max="5" width="14.5703125" style="7" bestFit="1" customWidth="1"/>
    <col min="6" max="6" width="16.140625" bestFit="1" customWidth="1"/>
    <col min="7" max="7" width="10.28515625" bestFit="1" customWidth="1"/>
    <col min="8" max="8" width="10.7109375" bestFit="1" customWidth="1"/>
    <col min="9" max="9" width="16.7109375" bestFit="1" customWidth="1"/>
    <col min="10" max="10" width="17" style="12" bestFit="1" customWidth="1"/>
  </cols>
  <sheetData>
    <row r="1" spans="1:11" x14ac:dyDescent="0.25">
      <c r="A1" s="4" t="s">
        <v>37</v>
      </c>
      <c r="B1" s="4" t="s">
        <v>38</v>
      </c>
      <c r="C1" s="4" t="s">
        <v>39</v>
      </c>
      <c r="D1" s="4" t="s">
        <v>40</v>
      </c>
      <c r="E1" s="6" t="s">
        <v>41</v>
      </c>
      <c r="F1" t="s">
        <v>42</v>
      </c>
      <c r="G1" t="s">
        <v>43</v>
      </c>
      <c r="H1" t="s">
        <v>44</v>
      </c>
      <c r="I1" t="s">
        <v>45</v>
      </c>
      <c r="J1" s="12" t="s">
        <v>46</v>
      </c>
    </row>
    <row r="2" spans="1:11" x14ac:dyDescent="0.25">
      <c r="A2" t="s">
        <v>25</v>
      </c>
      <c r="B2" t="s">
        <v>47</v>
      </c>
      <c r="C2" t="s">
        <v>48</v>
      </c>
      <c r="D2">
        <v>0.105</v>
      </c>
      <c r="E2" s="7" t="s">
        <v>150</v>
      </c>
      <c r="F2" t="s">
        <v>49</v>
      </c>
      <c r="G2" t="s">
        <v>50</v>
      </c>
      <c r="H2">
        <v>1</v>
      </c>
      <c r="I2" s="2" t="s">
        <v>51</v>
      </c>
      <c r="J2" s="12">
        <f t="shared" ref="J2:J23" si="0">VALUE(E2)</f>
        <v>714056.75</v>
      </c>
    </row>
    <row r="3" spans="1:11" x14ac:dyDescent="0.25">
      <c r="A3" t="s">
        <v>25</v>
      </c>
      <c r="B3" t="s">
        <v>47</v>
      </c>
      <c r="C3" t="s">
        <v>48</v>
      </c>
      <c r="D3">
        <v>0.21</v>
      </c>
      <c r="E3" s="7" t="s">
        <v>151</v>
      </c>
      <c r="F3" t="s">
        <v>49</v>
      </c>
      <c r="G3" t="s">
        <v>50</v>
      </c>
      <c r="H3">
        <v>1</v>
      </c>
      <c r="I3" s="2" t="s">
        <v>51</v>
      </c>
      <c r="J3" s="12">
        <f t="shared" si="0"/>
        <v>1307184.8400000001</v>
      </c>
    </row>
    <row r="4" spans="1:11" x14ac:dyDescent="0.25">
      <c r="A4" t="s">
        <v>28</v>
      </c>
      <c r="B4" t="s">
        <v>52</v>
      </c>
      <c r="C4" t="s">
        <v>53</v>
      </c>
      <c r="D4">
        <v>0.105</v>
      </c>
      <c r="E4" s="7" t="s">
        <v>152</v>
      </c>
      <c r="F4" t="s">
        <v>49</v>
      </c>
      <c r="G4" t="s">
        <v>50</v>
      </c>
      <c r="H4">
        <v>1</v>
      </c>
      <c r="I4" s="2" t="s">
        <v>51</v>
      </c>
      <c r="J4" s="12">
        <f t="shared" si="0"/>
        <v>228728.87</v>
      </c>
      <c r="K4" s="11"/>
    </row>
    <row r="5" spans="1:11" x14ac:dyDescent="0.25">
      <c r="A5" t="s">
        <v>28</v>
      </c>
      <c r="B5" t="s">
        <v>52</v>
      </c>
      <c r="C5" t="s">
        <v>53</v>
      </c>
      <c r="D5">
        <v>0.21</v>
      </c>
      <c r="E5" s="7" t="s">
        <v>153</v>
      </c>
      <c r="F5" t="s">
        <v>49</v>
      </c>
      <c r="G5" t="s">
        <v>50</v>
      </c>
      <c r="H5">
        <v>1</v>
      </c>
      <c r="I5" s="2" t="s">
        <v>51</v>
      </c>
      <c r="J5" s="12">
        <f t="shared" si="0"/>
        <v>646566.9</v>
      </c>
      <c r="K5" s="11"/>
    </row>
    <row r="6" spans="1:11" x14ac:dyDescent="0.25">
      <c r="A6" t="s">
        <v>18</v>
      </c>
      <c r="B6" t="s">
        <v>52</v>
      </c>
      <c r="C6" t="s">
        <v>54</v>
      </c>
      <c r="D6">
        <v>0.105</v>
      </c>
      <c r="E6" s="7" t="s">
        <v>154</v>
      </c>
      <c r="F6" t="s">
        <v>49</v>
      </c>
      <c r="G6" t="s">
        <v>50</v>
      </c>
      <c r="H6">
        <v>1</v>
      </c>
      <c r="I6" s="2" t="s">
        <v>51</v>
      </c>
      <c r="J6" s="12">
        <f t="shared" si="0"/>
        <v>109107.84</v>
      </c>
      <c r="K6" s="11"/>
    </row>
    <row r="7" spans="1:11" x14ac:dyDescent="0.25">
      <c r="A7" t="s">
        <v>18</v>
      </c>
      <c r="B7" t="s">
        <v>52</v>
      </c>
      <c r="C7" t="s">
        <v>54</v>
      </c>
      <c r="D7">
        <v>0.21</v>
      </c>
      <c r="E7" s="7" t="s">
        <v>155</v>
      </c>
      <c r="F7" t="s">
        <v>49</v>
      </c>
      <c r="G7" t="s">
        <v>50</v>
      </c>
      <c r="H7">
        <v>1</v>
      </c>
      <c r="I7" s="2" t="s">
        <v>51</v>
      </c>
      <c r="J7" s="12">
        <f t="shared" si="0"/>
        <v>308424.19</v>
      </c>
      <c r="K7" s="11"/>
    </row>
    <row r="8" spans="1:11" x14ac:dyDescent="0.25">
      <c r="A8" t="s">
        <v>24</v>
      </c>
      <c r="B8" t="s">
        <v>52</v>
      </c>
      <c r="C8" t="s">
        <v>55</v>
      </c>
      <c r="D8">
        <v>0.105</v>
      </c>
      <c r="E8" s="8" t="s">
        <v>156</v>
      </c>
      <c r="F8" t="s">
        <v>49</v>
      </c>
      <c r="G8" t="s">
        <v>50</v>
      </c>
      <c r="H8">
        <v>1</v>
      </c>
      <c r="I8" s="2" t="s">
        <v>51</v>
      </c>
      <c r="J8" s="12">
        <f t="shared" si="0"/>
        <v>995660.17</v>
      </c>
    </row>
    <row r="9" spans="1:11" x14ac:dyDescent="0.25">
      <c r="A9" t="s">
        <v>24</v>
      </c>
      <c r="B9" t="s">
        <v>47</v>
      </c>
      <c r="C9" t="s">
        <v>56</v>
      </c>
      <c r="D9">
        <v>0.105</v>
      </c>
      <c r="E9" s="8" t="s">
        <v>157</v>
      </c>
      <c r="F9" t="s">
        <v>49</v>
      </c>
      <c r="G9" t="s">
        <v>50</v>
      </c>
      <c r="H9">
        <v>1</v>
      </c>
      <c r="I9" s="2" t="s">
        <v>51</v>
      </c>
      <c r="J9" s="12">
        <f t="shared" si="0"/>
        <v>1548261.32</v>
      </c>
    </row>
    <row r="10" spans="1:11" x14ac:dyDescent="0.25">
      <c r="A10" t="s">
        <v>24</v>
      </c>
      <c r="B10" t="s">
        <v>52</v>
      </c>
      <c r="C10" t="s">
        <v>55</v>
      </c>
      <c r="D10">
        <v>0.21</v>
      </c>
      <c r="E10" s="8" t="s">
        <v>158</v>
      </c>
      <c r="F10" t="s">
        <v>49</v>
      </c>
      <c r="G10" t="s">
        <v>50</v>
      </c>
      <c r="H10">
        <v>1</v>
      </c>
      <c r="I10" s="2" t="s">
        <v>51</v>
      </c>
      <c r="J10" s="12">
        <f t="shared" si="0"/>
        <v>2637126.89</v>
      </c>
    </row>
    <row r="11" spans="1:11" x14ac:dyDescent="0.25">
      <c r="A11" t="s">
        <v>24</v>
      </c>
      <c r="B11" t="s">
        <v>47</v>
      </c>
      <c r="C11" t="s">
        <v>56</v>
      </c>
      <c r="D11">
        <v>0.21</v>
      </c>
      <c r="E11" s="8" t="s">
        <v>159</v>
      </c>
      <c r="F11" t="s">
        <v>49</v>
      </c>
      <c r="G11" t="s">
        <v>50</v>
      </c>
      <c r="H11">
        <v>1</v>
      </c>
      <c r="I11" s="2" t="s">
        <v>51</v>
      </c>
      <c r="J11" s="12">
        <f t="shared" si="0"/>
        <v>2834317.75</v>
      </c>
    </row>
    <row r="12" spans="1:11" x14ac:dyDescent="0.25">
      <c r="A12" t="s">
        <v>23</v>
      </c>
      <c r="B12" t="s">
        <v>52</v>
      </c>
      <c r="C12" t="s">
        <v>57</v>
      </c>
      <c r="D12">
        <v>0.105</v>
      </c>
      <c r="E12" s="7" t="s">
        <v>160</v>
      </c>
      <c r="F12" t="s">
        <v>49</v>
      </c>
      <c r="G12" t="s">
        <v>50</v>
      </c>
      <c r="H12">
        <v>1</v>
      </c>
      <c r="I12" s="2" t="s">
        <v>51</v>
      </c>
      <c r="J12" s="12">
        <f t="shared" si="0"/>
        <v>486827.77</v>
      </c>
    </row>
    <row r="13" spans="1:11" x14ac:dyDescent="0.25">
      <c r="A13" t="s">
        <v>23</v>
      </c>
      <c r="B13" t="s">
        <v>47</v>
      </c>
      <c r="C13" t="s">
        <v>58</v>
      </c>
      <c r="D13">
        <v>0.105</v>
      </c>
      <c r="E13" s="7" t="s">
        <v>161</v>
      </c>
      <c r="F13" t="s">
        <v>49</v>
      </c>
      <c r="G13" t="s">
        <v>50</v>
      </c>
      <c r="H13">
        <v>1</v>
      </c>
      <c r="I13" s="2" t="s">
        <v>51</v>
      </c>
      <c r="J13" s="12">
        <f t="shared" si="0"/>
        <v>776148.65</v>
      </c>
    </row>
    <row r="14" spans="1:11" x14ac:dyDescent="0.25">
      <c r="A14" t="s">
        <v>23</v>
      </c>
      <c r="B14" t="s">
        <v>52</v>
      </c>
      <c r="C14" t="s">
        <v>57</v>
      </c>
      <c r="D14">
        <v>0.21</v>
      </c>
      <c r="E14" s="7" t="s">
        <v>162</v>
      </c>
      <c r="F14" t="s">
        <v>49</v>
      </c>
      <c r="G14" t="s">
        <v>50</v>
      </c>
      <c r="H14">
        <v>1</v>
      </c>
      <c r="I14" s="2" t="s">
        <v>51</v>
      </c>
      <c r="J14" s="12">
        <f t="shared" si="0"/>
        <v>1682482.97</v>
      </c>
    </row>
    <row r="15" spans="1:11" x14ac:dyDescent="0.25">
      <c r="A15" t="s">
        <v>23</v>
      </c>
      <c r="B15" t="s">
        <v>47</v>
      </c>
      <c r="C15" t="s">
        <v>58</v>
      </c>
      <c r="D15">
        <v>0.21</v>
      </c>
      <c r="E15" s="7" t="s">
        <v>163</v>
      </c>
      <c r="F15" t="s">
        <v>49</v>
      </c>
      <c r="G15" t="s">
        <v>50</v>
      </c>
      <c r="H15">
        <v>1</v>
      </c>
      <c r="I15" s="2" t="s">
        <v>51</v>
      </c>
      <c r="J15" s="12">
        <f t="shared" si="0"/>
        <v>1658939.92</v>
      </c>
    </row>
    <row r="16" spans="1:11" x14ac:dyDescent="0.25">
      <c r="A16" t="s">
        <v>21</v>
      </c>
      <c r="B16" t="s">
        <v>52</v>
      </c>
      <c r="C16" t="s">
        <v>59</v>
      </c>
      <c r="D16">
        <v>0.105</v>
      </c>
      <c r="E16" s="7" t="s">
        <v>164</v>
      </c>
      <c r="F16" t="s">
        <v>49</v>
      </c>
      <c r="G16" t="s">
        <v>50</v>
      </c>
      <c r="H16">
        <v>1</v>
      </c>
      <c r="I16" s="2" t="s">
        <v>51</v>
      </c>
      <c r="J16" s="12">
        <f t="shared" si="0"/>
        <v>356644.3</v>
      </c>
    </row>
    <row r="17" spans="1:10" x14ac:dyDescent="0.25">
      <c r="A17" t="s">
        <v>21</v>
      </c>
      <c r="B17" t="s">
        <v>52</v>
      </c>
      <c r="C17" t="s">
        <v>59</v>
      </c>
      <c r="D17">
        <v>0.21</v>
      </c>
      <c r="E17" s="7" t="s">
        <v>165</v>
      </c>
      <c r="F17" t="s">
        <v>49</v>
      </c>
      <c r="G17" t="s">
        <v>50</v>
      </c>
      <c r="H17">
        <v>1</v>
      </c>
      <c r="I17" s="2" t="s">
        <v>51</v>
      </c>
      <c r="J17" s="12">
        <f t="shared" si="0"/>
        <v>1179650.19</v>
      </c>
    </row>
    <row r="18" spans="1:10" x14ac:dyDescent="0.25">
      <c r="A18" t="s">
        <v>27</v>
      </c>
      <c r="B18" t="s">
        <v>52</v>
      </c>
      <c r="C18" t="s">
        <v>60</v>
      </c>
      <c r="D18">
        <v>0.105</v>
      </c>
      <c r="E18" s="7" t="s">
        <v>166</v>
      </c>
      <c r="F18" t="s">
        <v>49</v>
      </c>
      <c r="G18" t="s">
        <v>50</v>
      </c>
      <c r="H18">
        <v>1</v>
      </c>
      <c r="I18" s="2" t="s">
        <v>51</v>
      </c>
      <c r="J18" s="12">
        <f t="shared" si="0"/>
        <v>550699.57999999996</v>
      </c>
    </row>
    <row r="19" spans="1:10" x14ac:dyDescent="0.25">
      <c r="A19" t="s">
        <v>27</v>
      </c>
      <c r="B19" t="s">
        <v>52</v>
      </c>
      <c r="C19" t="s">
        <v>60</v>
      </c>
      <c r="D19">
        <v>0.21</v>
      </c>
      <c r="E19" s="7" t="s">
        <v>167</v>
      </c>
      <c r="F19" t="s">
        <v>49</v>
      </c>
      <c r="G19" t="s">
        <v>50</v>
      </c>
      <c r="H19">
        <v>1</v>
      </c>
      <c r="I19" s="2" t="s">
        <v>51</v>
      </c>
      <c r="J19" s="12">
        <f t="shared" si="0"/>
        <v>1654655.54</v>
      </c>
    </row>
    <row r="20" spans="1:10" x14ac:dyDescent="0.25">
      <c r="A20" t="s">
        <v>26</v>
      </c>
      <c r="B20" t="s">
        <v>52</v>
      </c>
      <c r="C20" t="s">
        <v>61</v>
      </c>
      <c r="D20">
        <v>0.105</v>
      </c>
      <c r="E20" s="7" t="s">
        <v>168</v>
      </c>
      <c r="F20" t="s">
        <v>49</v>
      </c>
      <c r="G20" t="s">
        <v>50</v>
      </c>
      <c r="H20">
        <v>1</v>
      </c>
      <c r="I20" s="2" t="s">
        <v>51</v>
      </c>
      <c r="J20" s="12">
        <f t="shared" si="0"/>
        <v>1077661.44</v>
      </c>
    </row>
    <row r="21" spans="1:10" x14ac:dyDescent="0.25">
      <c r="A21" t="s">
        <v>26</v>
      </c>
      <c r="B21" t="s">
        <v>52</v>
      </c>
      <c r="C21" t="s">
        <v>61</v>
      </c>
      <c r="D21">
        <v>0.21</v>
      </c>
      <c r="E21" s="7" t="s">
        <v>169</v>
      </c>
      <c r="F21" t="s">
        <v>49</v>
      </c>
      <c r="G21" t="s">
        <v>50</v>
      </c>
      <c r="H21">
        <v>1</v>
      </c>
      <c r="I21" s="2" t="s">
        <v>51</v>
      </c>
      <c r="J21" s="12">
        <f t="shared" si="0"/>
        <v>2942191.16</v>
      </c>
    </row>
    <row r="22" spans="1:10" x14ac:dyDescent="0.25">
      <c r="A22" t="s">
        <v>29</v>
      </c>
      <c r="B22" t="s">
        <v>47</v>
      </c>
      <c r="C22" t="s">
        <v>62</v>
      </c>
      <c r="D22">
        <v>0.105</v>
      </c>
      <c r="E22" s="7" t="s">
        <v>150</v>
      </c>
      <c r="F22" t="s">
        <v>49</v>
      </c>
      <c r="G22" t="s">
        <v>50</v>
      </c>
      <c r="H22">
        <v>1</v>
      </c>
      <c r="I22" s="2" t="s">
        <v>51</v>
      </c>
      <c r="J22" s="12">
        <f t="shared" si="0"/>
        <v>714056.75</v>
      </c>
    </row>
    <row r="23" spans="1:10" x14ac:dyDescent="0.25">
      <c r="A23" t="s">
        <v>29</v>
      </c>
      <c r="B23" t="s">
        <v>47</v>
      </c>
      <c r="C23" t="s">
        <v>62</v>
      </c>
      <c r="D23">
        <v>0.21</v>
      </c>
      <c r="E23" s="7" t="s">
        <v>151</v>
      </c>
      <c r="F23" t="s">
        <v>49</v>
      </c>
      <c r="G23" t="s">
        <v>50</v>
      </c>
      <c r="H23">
        <v>1</v>
      </c>
      <c r="I23" s="2" t="s">
        <v>51</v>
      </c>
      <c r="J23" s="12">
        <f t="shared" si="0"/>
        <v>1307184.8400000001</v>
      </c>
    </row>
  </sheetData>
  <autoFilter ref="A1:J23" xr:uid="{00000000-0009-0000-0000-000003000000}">
    <sortState xmlns:xlrd2="http://schemas.microsoft.com/office/spreadsheetml/2017/richdata2" ref="A2:J23">
      <sortCondition ref="A1:A2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L15"/>
  <sheetViews>
    <sheetView workbookViewId="0">
      <selection activeCell="C15" sqref="C15"/>
    </sheetView>
  </sheetViews>
  <sheetFormatPr baseColWidth="10" defaultRowHeight="15" x14ac:dyDescent="0.25"/>
  <cols>
    <col min="1" max="1" width="33.5703125" bestFit="1" customWidth="1"/>
    <col min="2" max="2" width="13.42578125" bestFit="1" customWidth="1"/>
    <col min="3" max="3" width="15.5703125" bestFit="1" customWidth="1"/>
    <col min="4" max="4" width="9.7109375" bestFit="1" customWidth="1"/>
    <col min="5" max="5" width="14" style="7" bestFit="1" customWidth="1"/>
    <col min="6" max="6" width="14.7109375" bestFit="1" customWidth="1"/>
    <col min="7" max="7" width="10.28515625" bestFit="1" customWidth="1"/>
    <col min="8" max="8" width="10.7109375" bestFit="1" customWidth="1"/>
    <col min="9" max="9" width="16.7109375" bestFit="1" customWidth="1"/>
    <col min="10" max="10" width="17" style="3" bestFit="1" customWidth="1"/>
  </cols>
  <sheetData>
    <row r="1" spans="1:12" x14ac:dyDescent="0.25">
      <c r="A1" s="4" t="s">
        <v>37</v>
      </c>
      <c r="B1" s="4" t="s">
        <v>38</v>
      </c>
      <c r="C1" s="4" t="s">
        <v>39</v>
      </c>
      <c r="D1" s="4" t="s">
        <v>40</v>
      </c>
      <c r="E1" s="9" t="s">
        <v>41</v>
      </c>
      <c r="F1" t="s">
        <v>42</v>
      </c>
      <c r="G1" t="s">
        <v>43</v>
      </c>
      <c r="H1" t="s">
        <v>44</v>
      </c>
      <c r="I1" t="s">
        <v>45</v>
      </c>
      <c r="J1" s="12" t="s">
        <v>46</v>
      </c>
    </row>
    <row r="2" spans="1:12" x14ac:dyDescent="0.25">
      <c r="A2" t="s">
        <v>18</v>
      </c>
      <c r="B2" t="s">
        <v>52</v>
      </c>
      <c r="C2" t="s">
        <v>54</v>
      </c>
      <c r="D2">
        <v>0.21</v>
      </c>
      <c r="E2" s="7" t="s">
        <v>130</v>
      </c>
      <c r="F2" t="s">
        <v>63</v>
      </c>
      <c r="G2" t="s">
        <v>50</v>
      </c>
      <c r="H2">
        <v>1</v>
      </c>
      <c r="I2" s="2" t="s">
        <v>64</v>
      </c>
      <c r="J2" s="12">
        <f t="shared" ref="J2:J12" si="0">VALUE(E2)</f>
        <v>383421.14</v>
      </c>
    </row>
    <row r="3" spans="1:12" x14ac:dyDescent="0.25">
      <c r="A3" t="s">
        <v>27</v>
      </c>
      <c r="B3" t="s">
        <v>52</v>
      </c>
      <c r="C3" t="s">
        <v>60</v>
      </c>
      <c r="D3">
        <v>0.21</v>
      </c>
      <c r="E3" s="7" t="s">
        <v>131</v>
      </c>
      <c r="F3" t="s">
        <v>63</v>
      </c>
      <c r="G3" t="s">
        <v>50</v>
      </c>
      <c r="H3">
        <v>1</v>
      </c>
      <c r="I3" s="2" t="s">
        <v>64</v>
      </c>
      <c r="J3" s="12">
        <f t="shared" si="0"/>
        <v>539960.37</v>
      </c>
      <c r="L3" s="11"/>
    </row>
    <row r="4" spans="1:12" x14ac:dyDescent="0.25">
      <c r="A4" t="s">
        <v>29</v>
      </c>
      <c r="B4" t="s">
        <v>47</v>
      </c>
      <c r="C4" t="s">
        <v>62</v>
      </c>
      <c r="D4">
        <v>0.21</v>
      </c>
      <c r="E4" s="7" t="s">
        <v>132</v>
      </c>
      <c r="F4" t="s">
        <v>63</v>
      </c>
      <c r="G4" t="s">
        <v>50</v>
      </c>
      <c r="H4">
        <v>1</v>
      </c>
      <c r="I4" s="2" t="s">
        <v>64</v>
      </c>
      <c r="J4" s="12">
        <f t="shared" si="0"/>
        <v>7761.56</v>
      </c>
    </row>
    <row r="5" spans="1:12" x14ac:dyDescent="0.25">
      <c r="A5" t="s">
        <v>25</v>
      </c>
      <c r="B5" t="s">
        <v>47</v>
      </c>
      <c r="C5" t="s">
        <v>48</v>
      </c>
      <c r="D5">
        <v>0.21</v>
      </c>
      <c r="E5" s="7" t="s">
        <v>133</v>
      </c>
      <c r="F5" t="s">
        <v>63</v>
      </c>
      <c r="G5" t="s">
        <v>50</v>
      </c>
      <c r="H5">
        <v>1</v>
      </c>
      <c r="I5" s="2" t="s">
        <v>64</v>
      </c>
      <c r="J5" s="12">
        <f t="shared" si="0"/>
        <v>217323.72</v>
      </c>
    </row>
    <row r="6" spans="1:12" x14ac:dyDescent="0.25">
      <c r="A6" t="s">
        <v>24</v>
      </c>
      <c r="B6" t="s">
        <v>52</v>
      </c>
      <c r="C6" t="s">
        <v>55</v>
      </c>
      <c r="D6">
        <v>0.21</v>
      </c>
      <c r="E6" s="7" t="s">
        <v>133</v>
      </c>
      <c r="F6" t="s">
        <v>63</v>
      </c>
      <c r="G6" t="s">
        <v>50</v>
      </c>
      <c r="H6">
        <v>1</v>
      </c>
      <c r="I6" s="2" t="s">
        <v>64</v>
      </c>
      <c r="J6" s="12">
        <f t="shared" si="0"/>
        <v>217323.72</v>
      </c>
    </row>
    <row r="7" spans="1:12" x14ac:dyDescent="0.25">
      <c r="A7" t="s">
        <v>24</v>
      </c>
      <c r="B7" t="s">
        <v>47</v>
      </c>
      <c r="C7" t="s">
        <v>56</v>
      </c>
      <c r="D7">
        <v>0.21</v>
      </c>
      <c r="E7" s="7" t="s">
        <v>134</v>
      </c>
      <c r="F7" t="s">
        <v>63</v>
      </c>
      <c r="G7" t="s">
        <v>50</v>
      </c>
      <c r="H7">
        <v>1</v>
      </c>
      <c r="I7" s="2" t="s">
        <v>64</v>
      </c>
      <c r="J7" s="12">
        <f t="shared" si="0"/>
        <v>395839.62</v>
      </c>
    </row>
    <row r="8" spans="1:12" x14ac:dyDescent="0.25">
      <c r="A8" t="s">
        <v>23</v>
      </c>
      <c r="B8" t="s">
        <v>52</v>
      </c>
      <c r="C8" t="s">
        <v>57</v>
      </c>
      <c r="D8">
        <v>0.21</v>
      </c>
      <c r="E8" s="7" t="s">
        <v>135</v>
      </c>
      <c r="F8" t="s">
        <v>63</v>
      </c>
      <c r="G8" t="s">
        <v>50</v>
      </c>
      <c r="H8">
        <v>1</v>
      </c>
      <c r="I8" s="2" t="s">
        <v>64</v>
      </c>
      <c r="J8" s="12">
        <f t="shared" si="0"/>
        <v>271654.64</v>
      </c>
    </row>
    <row r="9" spans="1:12" x14ac:dyDescent="0.25">
      <c r="A9" t="s">
        <v>21</v>
      </c>
      <c r="B9" t="s">
        <v>52</v>
      </c>
      <c r="C9" t="s">
        <v>59</v>
      </c>
      <c r="D9">
        <v>0.21</v>
      </c>
      <c r="E9" s="7" t="s">
        <v>136</v>
      </c>
      <c r="F9" t="s">
        <v>63</v>
      </c>
      <c r="G9" t="s">
        <v>50</v>
      </c>
      <c r="H9">
        <v>1</v>
      </c>
      <c r="I9" s="2" t="s">
        <v>64</v>
      </c>
      <c r="J9" s="12">
        <f t="shared" si="0"/>
        <v>30270.09</v>
      </c>
    </row>
    <row r="10" spans="1:12" x14ac:dyDescent="0.25">
      <c r="A10" t="s">
        <v>23</v>
      </c>
      <c r="B10" t="s">
        <v>47</v>
      </c>
      <c r="C10" t="s">
        <v>58</v>
      </c>
      <c r="D10">
        <v>0.21</v>
      </c>
      <c r="E10" s="7" t="s">
        <v>137</v>
      </c>
      <c r="F10" t="s">
        <v>63</v>
      </c>
      <c r="G10" t="s">
        <v>50</v>
      </c>
      <c r="H10">
        <v>1</v>
      </c>
      <c r="I10" s="2" t="s">
        <v>64</v>
      </c>
      <c r="J10" s="12">
        <f t="shared" si="0"/>
        <v>325985.57</v>
      </c>
    </row>
    <row r="11" spans="1:12" x14ac:dyDescent="0.25">
      <c r="A11" t="s">
        <v>26</v>
      </c>
      <c r="B11" t="s">
        <v>52</v>
      </c>
      <c r="C11" t="s">
        <v>61</v>
      </c>
      <c r="D11">
        <v>0.21</v>
      </c>
      <c r="E11" s="7" t="s">
        <v>138</v>
      </c>
      <c r="F11" t="s">
        <v>63</v>
      </c>
      <c r="G11" t="s">
        <v>50</v>
      </c>
      <c r="H11">
        <v>1</v>
      </c>
      <c r="I11" s="2" t="s">
        <v>64</v>
      </c>
      <c r="J11" s="12">
        <f t="shared" si="0"/>
        <v>4863911.22</v>
      </c>
    </row>
    <row r="12" spans="1:12" x14ac:dyDescent="0.25">
      <c r="A12" t="s">
        <v>28</v>
      </c>
      <c r="B12" t="s">
        <v>52</v>
      </c>
      <c r="C12" t="s">
        <v>53</v>
      </c>
      <c r="D12">
        <v>0.21</v>
      </c>
      <c r="E12" s="7" t="s">
        <v>139</v>
      </c>
      <c r="F12" t="s">
        <v>63</v>
      </c>
      <c r="G12" t="s">
        <v>50</v>
      </c>
      <c r="H12">
        <v>1</v>
      </c>
      <c r="I12" s="2" t="s">
        <v>64</v>
      </c>
      <c r="J12" s="12">
        <f t="shared" si="0"/>
        <v>211890.63</v>
      </c>
    </row>
    <row r="13" spans="1:12" x14ac:dyDescent="0.25">
      <c r="I13" s="2"/>
      <c r="J13" s="12"/>
    </row>
    <row r="14" spans="1:12" x14ac:dyDescent="0.25">
      <c r="I14" s="2"/>
      <c r="J14" s="12"/>
    </row>
    <row r="15" spans="1:12" x14ac:dyDescent="0.25">
      <c r="C15" s="3"/>
    </row>
  </sheetData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K13"/>
  <sheetViews>
    <sheetView workbookViewId="0">
      <selection activeCell="F18" sqref="F18"/>
    </sheetView>
  </sheetViews>
  <sheetFormatPr baseColWidth="10" defaultRowHeight="15" x14ac:dyDescent="0.25"/>
  <cols>
    <col min="1" max="1" width="33.5703125" bestFit="1" customWidth="1"/>
    <col min="2" max="2" width="22.140625" bestFit="1" customWidth="1"/>
    <col min="3" max="3" width="9.7109375" bestFit="1" customWidth="1"/>
    <col min="4" max="4" width="14" style="10" bestFit="1" customWidth="1"/>
    <col min="5" max="5" width="20" bestFit="1" customWidth="1"/>
    <col min="6" max="6" width="10.28515625" bestFit="1" customWidth="1"/>
    <col min="7" max="7" width="10.7109375" bestFit="1" customWidth="1"/>
    <col min="8" max="8" width="16.7109375" bestFit="1" customWidth="1"/>
    <col min="9" max="9" width="17" bestFit="1" customWidth="1"/>
  </cols>
  <sheetData>
    <row r="1" spans="1:11" x14ac:dyDescent="0.25">
      <c r="A1" s="4" t="s">
        <v>37</v>
      </c>
      <c r="B1" s="4" t="s">
        <v>65</v>
      </c>
      <c r="C1" s="4" t="s">
        <v>66</v>
      </c>
      <c r="D1" s="9" t="s">
        <v>41</v>
      </c>
      <c r="E1" t="s">
        <v>42</v>
      </c>
      <c r="F1" t="s">
        <v>43</v>
      </c>
      <c r="G1" t="s">
        <v>44</v>
      </c>
      <c r="H1" t="s">
        <v>45</v>
      </c>
      <c r="I1" s="12" t="s">
        <v>46</v>
      </c>
    </row>
    <row r="2" spans="1:11" x14ac:dyDescent="0.25">
      <c r="A2" t="s">
        <v>30</v>
      </c>
      <c r="B2" t="s">
        <v>67</v>
      </c>
      <c r="C2" t="s">
        <v>68</v>
      </c>
      <c r="D2" s="7" t="s">
        <v>140</v>
      </c>
      <c r="E2" t="s">
        <v>69</v>
      </c>
      <c r="F2" t="s">
        <v>50</v>
      </c>
      <c r="G2">
        <v>1</v>
      </c>
      <c r="H2" s="2" t="s">
        <v>51</v>
      </c>
      <c r="I2" s="12">
        <f t="shared" ref="I2:I12" si="0">VALUE(D2)</f>
        <v>832583.37</v>
      </c>
      <c r="K2" s="7"/>
    </row>
    <row r="3" spans="1:11" x14ac:dyDescent="0.25">
      <c r="A3" t="s">
        <v>22</v>
      </c>
      <c r="B3" t="s">
        <v>67</v>
      </c>
      <c r="C3" t="s">
        <v>68</v>
      </c>
      <c r="D3" s="7" t="s">
        <v>141</v>
      </c>
      <c r="E3" t="s">
        <v>69</v>
      </c>
      <c r="F3" t="s">
        <v>50</v>
      </c>
      <c r="G3">
        <v>1</v>
      </c>
      <c r="H3" s="2" t="s">
        <v>51</v>
      </c>
      <c r="I3" s="12">
        <f t="shared" si="0"/>
        <v>1741060.34</v>
      </c>
      <c r="K3" s="7"/>
    </row>
    <row r="4" spans="1:11" x14ac:dyDescent="0.25">
      <c r="A4" t="s">
        <v>18</v>
      </c>
      <c r="B4" t="s">
        <v>67</v>
      </c>
      <c r="C4" t="s">
        <v>68</v>
      </c>
      <c r="D4" s="7" t="s">
        <v>142</v>
      </c>
      <c r="E4" t="s">
        <v>69</v>
      </c>
      <c r="F4" t="s">
        <v>50</v>
      </c>
      <c r="G4">
        <v>1</v>
      </c>
      <c r="H4" s="2" t="s">
        <v>51</v>
      </c>
      <c r="I4" s="12">
        <f t="shared" si="0"/>
        <v>63389.98</v>
      </c>
      <c r="K4" s="7"/>
    </row>
    <row r="5" spans="1:11" x14ac:dyDescent="0.25">
      <c r="A5" t="s">
        <v>24</v>
      </c>
      <c r="B5" t="s">
        <v>67</v>
      </c>
      <c r="C5" t="s">
        <v>68</v>
      </c>
      <c r="D5" s="7" t="s">
        <v>143</v>
      </c>
      <c r="E5" t="s">
        <v>69</v>
      </c>
      <c r="F5" t="s">
        <v>50</v>
      </c>
      <c r="G5">
        <v>1</v>
      </c>
      <c r="H5" s="2" t="s">
        <v>51</v>
      </c>
      <c r="I5" s="12">
        <f t="shared" si="0"/>
        <v>1150109.5900000001</v>
      </c>
      <c r="K5" s="7"/>
    </row>
    <row r="6" spans="1:11" x14ac:dyDescent="0.25">
      <c r="A6" t="s">
        <v>23</v>
      </c>
      <c r="B6" t="s">
        <v>67</v>
      </c>
      <c r="C6" t="s">
        <v>68</v>
      </c>
      <c r="D6" s="7" t="s">
        <v>144</v>
      </c>
      <c r="E6" t="s">
        <v>69</v>
      </c>
      <c r="F6" t="s">
        <v>50</v>
      </c>
      <c r="G6">
        <v>1</v>
      </c>
      <c r="H6" s="2" t="s">
        <v>51</v>
      </c>
      <c r="I6" s="12">
        <f t="shared" si="0"/>
        <v>569417.56000000006</v>
      </c>
      <c r="K6" s="7"/>
    </row>
    <row r="7" spans="1:11" x14ac:dyDescent="0.25">
      <c r="A7" t="s">
        <v>21</v>
      </c>
      <c r="B7" t="s">
        <v>67</v>
      </c>
      <c r="C7" t="s">
        <v>68</v>
      </c>
      <c r="D7" s="7" t="s">
        <v>145</v>
      </c>
      <c r="E7" t="s">
        <v>69</v>
      </c>
      <c r="F7" t="s">
        <v>50</v>
      </c>
      <c r="G7">
        <v>1</v>
      </c>
      <c r="H7" s="2" t="s">
        <v>51</v>
      </c>
      <c r="I7" s="12">
        <f t="shared" si="0"/>
        <v>207029.32</v>
      </c>
      <c r="K7" s="7"/>
    </row>
    <row r="8" spans="1:11" x14ac:dyDescent="0.25">
      <c r="A8" t="s">
        <v>27</v>
      </c>
      <c r="B8" t="s">
        <v>67</v>
      </c>
      <c r="C8" t="s">
        <v>68</v>
      </c>
      <c r="D8" s="7" t="s">
        <v>146</v>
      </c>
      <c r="E8" t="s">
        <v>69</v>
      </c>
      <c r="F8" t="s">
        <v>50</v>
      </c>
      <c r="G8">
        <v>1</v>
      </c>
      <c r="H8" s="2" t="s">
        <v>51</v>
      </c>
      <c r="I8" s="12">
        <f t="shared" si="0"/>
        <v>322062.57</v>
      </c>
      <c r="K8" s="7"/>
    </row>
    <row r="9" spans="1:11" x14ac:dyDescent="0.25">
      <c r="A9" t="s">
        <v>26</v>
      </c>
      <c r="B9" t="s">
        <v>67</v>
      </c>
      <c r="C9" t="s">
        <v>68</v>
      </c>
      <c r="D9" s="7" t="s">
        <v>147</v>
      </c>
      <c r="E9" t="s">
        <v>69</v>
      </c>
      <c r="F9" t="s">
        <v>50</v>
      </c>
      <c r="G9">
        <v>1</v>
      </c>
      <c r="H9" s="2" t="s">
        <v>51</v>
      </c>
      <c r="I9" s="12">
        <f t="shared" si="0"/>
        <v>625574.32999999996</v>
      </c>
      <c r="K9" s="7"/>
    </row>
    <row r="10" spans="1:11" x14ac:dyDescent="0.25">
      <c r="A10" t="s">
        <v>28</v>
      </c>
      <c r="B10" t="s">
        <v>67</v>
      </c>
      <c r="C10" t="s">
        <v>68</v>
      </c>
      <c r="D10" s="7" t="s">
        <v>148</v>
      </c>
      <c r="E10" t="s">
        <v>69</v>
      </c>
      <c r="F10" t="s">
        <v>50</v>
      </c>
      <c r="G10">
        <v>1</v>
      </c>
      <c r="H10" s="2" t="s">
        <v>51</v>
      </c>
      <c r="I10" s="12">
        <f t="shared" si="0"/>
        <v>1787429.94</v>
      </c>
      <c r="K10" s="7"/>
    </row>
    <row r="11" spans="1:11" x14ac:dyDescent="0.25">
      <c r="A11" t="s">
        <v>25</v>
      </c>
      <c r="B11" t="s">
        <v>67</v>
      </c>
      <c r="C11" t="s">
        <v>68</v>
      </c>
      <c r="D11" s="7" t="s">
        <v>149</v>
      </c>
      <c r="E11" t="s">
        <v>69</v>
      </c>
      <c r="F11" t="s">
        <v>50</v>
      </c>
      <c r="G11">
        <v>1</v>
      </c>
      <c r="H11" s="2" t="s">
        <v>51</v>
      </c>
      <c r="I11" s="12">
        <f t="shared" si="0"/>
        <v>261932.07</v>
      </c>
      <c r="K11" s="7"/>
    </row>
    <row r="12" spans="1:11" x14ac:dyDescent="0.25">
      <c r="A12" t="s">
        <v>29</v>
      </c>
      <c r="B12" t="s">
        <v>67</v>
      </c>
      <c r="C12" t="s">
        <v>68</v>
      </c>
      <c r="D12" s="7" t="s">
        <v>149</v>
      </c>
      <c r="E12" t="s">
        <v>69</v>
      </c>
      <c r="F12" t="s">
        <v>50</v>
      </c>
      <c r="G12">
        <v>1</v>
      </c>
      <c r="H12" s="2" t="s">
        <v>51</v>
      </c>
      <c r="I12" s="12">
        <f t="shared" si="0"/>
        <v>261932.07</v>
      </c>
      <c r="K12" s="7"/>
    </row>
    <row r="13" spans="1:11" x14ac:dyDescent="0.25">
      <c r="H13" s="2"/>
      <c r="I1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J13"/>
  <sheetViews>
    <sheetView workbookViewId="0">
      <selection activeCell="F23" sqref="F23"/>
    </sheetView>
  </sheetViews>
  <sheetFormatPr baseColWidth="10" defaultColWidth="11.5703125" defaultRowHeight="15" x14ac:dyDescent="0.25"/>
  <cols>
    <col min="2" max="2" width="33.5703125" bestFit="1" customWidth="1"/>
    <col min="3" max="3" width="33.5703125" customWidth="1"/>
    <col min="4" max="4" width="9.7109375" bestFit="1" customWidth="1"/>
    <col min="5" max="5" width="14" style="10" bestFit="1" customWidth="1"/>
    <col min="6" max="6" width="36" bestFit="1" customWidth="1"/>
    <col min="9" max="9" width="16.7109375" bestFit="1" customWidth="1"/>
    <col min="10" max="10" width="17" bestFit="1" customWidth="1"/>
  </cols>
  <sheetData>
    <row r="1" spans="1:10" x14ac:dyDescent="0.25">
      <c r="A1" t="s">
        <v>5</v>
      </c>
      <c r="B1" s="4" t="s">
        <v>37</v>
      </c>
      <c r="C1" s="4" t="s">
        <v>65</v>
      </c>
      <c r="D1" s="4" t="s">
        <v>66</v>
      </c>
      <c r="E1" s="9" t="s">
        <v>41</v>
      </c>
      <c r="F1" t="s">
        <v>42</v>
      </c>
      <c r="G1" t="s">
        <v>43</v>
      </c>
      <c r="H1" t="s">
        <v>44</v>
      </c>
      <c r="I1" t="s">
        <v>45</v>
      </c>
      <c r="J1" s="12" t="s">
        <v>46</v>
      </c>
    </row>
    <row r="2" spans="1:10" x14ac:dyDescent="0.25">
      <c r="A2" t="s">
        <v>16</v>
      </c>
      <c r="B2" t="s">
        <v>30</v>
      </c>
      <c r="C2" t="s">
        <v>71</v>
      </c>
      <c r="D2" t="s">
        <v>68</v>
      </c>
      <c r="E2" s="10" t="s">
        <v>170</v>
      </c>
      <c r="F2" s="5" t="s">
        <v>72</v>
      </c>
      <c r="G2" t="s">
        <v>50</v>
      </c>
      <c r="H2">
        <v>1</v>
      </c>
      <c r="I2" s="20" t="s">
        <v>73</v>
      </c>
      <c r="J2" s="12">
        <f t="shared" ref="J2:J13" si="0">VALUE(E2)</f>
        <v>11129.18</v>
      </c>
    </row>
    <row r="3" spans="1:10" x14ac:dyDescent="0.25">
      <c r="A3" t="s">
        <v>16</v>
      </c>
      <c r="B3" t="s">
        <v>28</v>
      </c>
      <c r="C3" t="s">
        <v>71</v>
      </c>
      <c r="D3" t="s">
        <v>68</v>
      </c>
      <c r="E3" s="10" t="s">
        <v>171</v>
      </c>
      <c r="F3" s="5" t="s">
        <v>72</v>
      </c>
      <c r="G3" t="s">
        <v>50</v>
      </c>
      <c r="H3">
        <v>1</v>
      </c>
      <c r="I3" s="20" t="s">
        <v>73</v>
      </c>
      <c r="J3" s="12">
        <f t="shared" si="0"/>
        <v>20782.900000000001</v>
      </c>
    </row>
    <row r="4" spans="1:10" x14ac:dyDescent="0.25">
      <c r="A4" t="s">
        <v>70</v>
      </c>
      <c r="B4" t="s">
        <v>26</v>
      </c>
      <c r="C4" t="s">
        <v>74</v>
      </c>
      <c r="D4" t="s">
        <v>68</v>
      </c>
      <c r="F4" t="s">
        <v>75</v>
      </c>
      <c r="G4" t="s">
        <v>50</v>
      </c>
      <c r="H4">
        <v>1</v>
      </c>
      <c r="I4" s="2" t="s">
        <v>76</v>
      </c>
      <c r="J4" s="12">
        <f t="shared" si="0"/>
        <v>0</v>
      </c>
    </row>
    <row r="5" spans="1:10" x14ac:dyDescent="0.25">
      <c r="A5" t="s">
        <v>16</v>
      </c>
      <c r="B5" t="s">
        <v>30</v>
      </c>
      <c r="C5" t="s">
        <v>71</v>
      </c>
      <c r="D5" t="s">
        <v>68</v>
      </c>
      <c r="E5" s="10" t="s">
        <v>174</v>
      </c>
      <c r="F5" t="s">
        <v>75</v>
      </c>
      <c r="G5" t="s">
        <v>50</v>
      </c>
      <c r="H5">
        <v>1</v>
      </c>
      <c r="I5" s="2" t="s">
        <v>77</v>
      </c>
      <c r="J5" s="12">
        <f t="shared" si="0"/>
        <v>37689.4</v>
      </c>
    </row>
    <row r="6" spans="1:10" x14ac:dyDescent="0.25">
      <c r="A6" t="s">
        <v>16</v>
      </c>
      <c r="B6" t="s">
        <v>28</v>
      </c>
      <c r="C6" t="s">
        <v>74</v>
      </c>
      <c r="D6" t="s">
        <v>68</v>
      </c>
      <c r="E6" s="10" t="s">
        <v>175</v>
      </c>
      <c r="F6" t="s">
        <v>75</v>
      </c>
      <c r="G6" t="s">
        <v>50</v>
      </c>
      <c r="H6">
        <v>1</v>
      </c>
      <c r="I6" s="2" t="s">
        <v>78</v>
      </c>
      <c r="J6" s="12">
        <f t="shared" si="0"/>
        <v>76174.34</v>
      </c>
    </row>
    <row r="7" spans="1:10" x14ac:dyDescent="0.25">
      <c r="A7" t="s">
        <v>16</v>
      </c>
      <c r="B7" t="s">
        <v>22</v>
      </c>
      <c r="C7" t="s">
        <v>74</v>
      </c>
      <c r="D7" t="s">
        <v>68</v>
      </c>
      <c r="E7" s="17" t="s">
        <v>176</v>
      </c>
      <c r="F7" t="s">
        <v>75</v>
      </c>
      <c r="G7" t="s">
        <v>50</v>
      </c>
      <c r="H7">
        <v>1</v>
      </c>
      <c r="I7" s="2" t="s">
        <v>79</v>
      </c>
      <c r="J7" s="12">
        <f t="shared" si="0"/>
        <v>487303.41</v>
      </c>
    </row>
    <row r="8" spans="1:10" x14ac:dyDescent="0.25">
      <c r="A8" t="s">
        <v>70</v>
      </c>
      <c r="B8" t="s">
        <v>24</v>
      </c>
      <c r="C8" t="s">
        <v>74</v>
      </c>
      <c r="D8" t="s">
        <v>68</v>
      </c>
      <c r="E8" s="21"/>
      <c r="F8" t="s">
        <v>75</v>
      </c>
      <c r="G8" t="s">
        <v>50</v>
      </c>
      <c r="H8">
        <v>1</v>
      </c>
      <c r="I8" s="2" t="s">
        <v>80</v>
      </c>
      <c r="J8" s="12">
        <f t="shared" si="0"/>
        <v>0</v>
      </c>
    </row>
    <row r="9" spans="1:10" x14ac:dyDescent="0.25">
      <c r="A9" t="s">
        <v>70</v>
      </c>
      <c r="B9" t="s">
        <v>23</v>
      </c>
      <c r="C9" t="s">
        <v>71</v>
      </c>
      <c r="D9" t="s">
        <v>68</v>
      </c>
      <c r="F9" t="s">
        <v>75</v>
      </c>
      <c r="G9" t="s">
        <v>50</v>
      </c>
      <c r="H9">
        <v>1</v>
      </c>
      <c r="I9" s="2" t="s">
        <v>81</v>
      </c>
      <c r="J9" s="12">
        <f t="shared" si="0"/>
        <v>0</v>
      </c>
    </row>
    <row r="10" spans="1:10" x14ac:dyDescent="0.25">
      <c r="A10" t="s">
        <v>70</v>
      </c>
      <c r="B10" t="s">
        <v>18</v>
      </c>
      <c r="C10" t="s">
        <v>74</v>
      </c>
      <c r="D10" t="s">
        <v>68</v>
      </c>
      <c r="F10" t="s">
        <v>75</v>
      </c>
      <c r="G10" t="s">
        <v>50</v>
      </c>
      <c r="H10">
        <v>1</v>
      </c>
      <c r="I10" s="2" t="s">
        <v>82</v>
      </c>
      <c r="J10" s="12">
        <f t="shared" si="0"/>
        <v>0</v>
      </c>
    </row>
    <row r="11" spans="1:10" x14ac:dyDescent="0.25">
      <c r="A11" t="s">
        <v>70</v>
      </c>
      <c r="B11" t="s">
        <v>27</v>
      </c>
      <c r="C11" t="s">
        <v>74</v>
      </c>
      <c r="D11" t="s">
        <v>68</v>
      </c>
      <c r="F11" t="s">
        <v>83</v>
      </c>
      <c r="G11" t="s">
        <v>50</v>
      </c>
      <c r="H11">
        <v>1</v>
      </c>
      <c r="I11" s="2" t="s">
        <v>84</v>
      </c>
      <c r="J11" s="12">
        <f t="shared" si="0"/>
        <v>0</v>
      </c>
    </row>
    <row r="12" spans="1:10" x14ac:dyDescent="0.25">
      <c r="A12" t="s">
        <v>70</v>
      </c>
      <c r="B12" t="s">
        <v>24</v>
      </c>
      <c r="C12" t="s">
        <v>74</v>
      </c>
      <c r="D12" t="s">
        <v>68</v>
      </c>
      <c r="F12" t="s">
        <v>85</v>
      </c>
      <c r="G12" t="s">
        <v>50</v>
      </c>
      <c r="H12">
        <v>1</v>
      </c>
      <c r="I12" s="2" t="s">
        <v>64</v>
      </c>
      <c r="J12" s="12">
        <f t="shared" si="0"/>
        <v>0</v>
      </c>
    </row>
    <row r="13" spans="1:10" x14ac:dyDescent="0.25">
      <c r="A13" t="s">
        <v>70</v>
      </c>
      <c r="B13" t="s">
        <v>29</v>
      </c>
      <c r="C13" t="s">
        <v>71</v>
      </c>
      <c r="D13" t="s">
        <v>68</v>
      </c>
      <c r="F13" t="s">
        <v>85</v>
      </c>
      <c r="G13" t="s">
        <v>50</v>
      </c>
      <c r="H13">
        <v>1</v>
      </c>
      <c r="I13" s="2" t="s">
        <v>64</v>
      </c>
      <c r="J13" s="12">
        <f t="shared" si="0"/>
        <v>0</v>
      </c>
    </row>
  </sheetData>
  <autoFilter ref="A1:J13" xr:uid="{00000000-0009-0000-0000-000006000000}">
    <sortState xmlns:xlrd2="http://schemas.microsoft.com/office/spreadsheetml/2017/richdata2" ref="A2:J13">
      <sortCondition ref="E1:E1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J21"/>
  <sheetViews>
    <sheetView workbookViewId="0">
      <selection activeCell="A10" sqref="A10"/>
    </sheetView>
  </sheetViews>
  <sheetFormatPr baseColWidth="10" defaultColWidth="11.5703125" defaultRowHeight="15" x14ac:dyDescent="0.25"/>
  <cols>
    <col min="2" max="2" width="33.5703125" bestFit="1" customWidth="1"/>
    <col min="3" max="3" width="21.85546875" bestFit="1" customWidth="1"/>
    <col min="4" max="4" width="9.7109375" bestFit="1" customWidth="1"/>
    <col min="5" max="5" width="14" style="10" bestFit="1" customWidth="1"/>
    <col min="6" max="6" width="28.42578125" bestFit="1" customWidth="1"/>
    <col min="9" max="9" width="16.7109375" bestFit="1" customWidth="1"/>
    <col min="10" max="10" width="17" bestFit="1" customWidth="1"/>
  </cols>
  <sheetData>
    <row r="1" spans="1:10" x14ac:dyDescent="0.25">
      <c r="A1" t="s">
        <v>177</v>
      </c>
      <c r="B1" s="4" t="s">
        <v>37</v>
      </c>
      <c r="C1" s="4" t="s">
        <v>65</v>
      </c>
      <c r="D1" s="4" t="s">
        <v>66</v>
      </c>
      <c r="E1" s="9" t="s">
        <v>41</v>
      </c>
      <c r="F1" t="s">
        <v>42</v>
      </c>
      <c r="G1" t="s">
        <v>43</v>
      </c>
      <c r="H1" t="s">
        <v>44</v>
      </c>
      <c r="I1" t="s">
        <v>45</v>
      </c>
      <c r="J1" s="12" t="s">
        <v>46</v>
      </c>
    </row>
    <row r="2" spans="1:10" x14ac:dyDescent="0.25">
      <c r="A2" t="s">
        <v>70</v>
      </c>
      <c r="B2" t="s">
        <v>25</v>
      </c>
      <c r="C2" t="s">
        <v>86</v>
      </c>
      <c r="D2" t="s">
        <v>68</v>
      </c>
      <c r="E2" s="10" t="s">
        <v>87</v>
      </c>
      <c r="F2" s="5" t="s">
        <v>88</v>
      </c>
      <c r="G2" t="s">
        <v>89</v>
      </c>
      <c r="H2">
        <v>1</v>
      </c>
      <c r="I2" s="2" t="s">
        <v>90</v>
      </c>
      <c r="J2" s="12">
        <f t="shared" ref="J2:J9" si="0">VALUE(E2)</f>
        <v>450000</v>
      </c>
    </row>
    <row r="3" spans="1:10" x14ac:dyDescent="0.25">
      <c r="A3" t="s">
        <v>70</v>
      </c>
      <c r="B3" t="s">
        <v>28</v>
      </c>
      <c r="C3" t="s">
        <v>86</v>
      </c>
      <c r="D3" t="s">
        <v>68</v>
      </c>
      <c r="E3" s="10" t="s">
        <v>91</v>
      </c>
      <c r="F3" s="5" t="s">
        <v>88</v>
      </c>
      <c r="G3" t="s">
        <v>89</v>
      </c>
      <c r="H3">
        <v>1</v>
      </c>
      <c r="I3" s="2" t="s">
        <v>90</v>
      </c>
      <c r="J3" s="12">
        <f t="shared" si="0"/>
        <v>150000</v>
      </c>
    </row>
    <row r="4" spans="1:10" x14ac:dyDescent="0.25">
      <c r="A4" t="s">
        <v>70</v>
      </c>
      <c r="B4" t="s">
        <v>18</v>
      </c>
      <c r="C4" t="s">
        <v>86</v>
      </c>
      <c r="D4" t="s">
        <v>68</v>
      </c>
      <c r="E4" s="10" t="s">
        <v>92</v>
      </c>
      <c r="F4" s="5" t="s">
        <v>88</v>
      </c>
      <c r="G4" t="s">
        <v>89</v>
      </c>
      <c r="H4">
        <v>1</v>
      </c>
      <c r="I4" s="2" t="s">
        <v>90</v>
      </c>
      <c r="J4" s="12">
        <f t="shared" si="0"/>
        <v>90000</v>
      </c>
    </row>
    <row r="5" spans="1:10" x14ac:dyDescent="0.25">
      <c r="A5" t="s">
        <v>70</v>
      </c>
      <c r="B5" t="s">
        <v>24</v>
      </c>
      <c r="C5" t="s">
        <v>86</v>
      </c>
      <c r="D5" t="s">
        <v>68</v>
      </c>
      <c r="E5" s="10" t="s">
        <v>93</v>
      </c>
      <c r="F5" s="5" t="s">
        <v>88</v>
      </c>
      <c r="G5" t="s">
        <v>89</v>
      </c>
      <c r="H5">
        <v>1</v>
      </c>
      <c r="I5" s="2" t="s">
        <v>90</v>
      </c>
      <c r="J5" s="12">
        <f t="shared" si="0"/>
        <v>1500000</v>
      </c>
    </row>
    <row r="6" spans="1:10" x14ac:dyDescent="0.25">
      <c r="A6" t="s">
        <v>70</v>
      </c>
      <c r="B6" t="s">
        <v>23</v>
      </c>
      <c r="C6" t="s">
        <v>86</v>
      </c>
      <c r="D6" t="s">
        <v>68</v>
      </c>
      <c r="E6" s="10" t="s">
        <v>94</v>
      </c>
      <c r="F6" s="5" t="s">
        <v>88</v>
      </c>
      <c r="G6" t="s">
        <v>89</v>
      </c>
      <c r="H6">
        <v>1</v>
      </c>
      <c r="I6" s="2" t="s">
        <v>90</v>
      </c>
      <c r="J6" s="12">
        <f t="shared" si="0"/>
        <v>1000000</v>
      </c>
    </row>
    <row r="7" spans="1:10" x14ac:dyDescent="0.25">
      <c r="A7" t="s">
        <v>70</v>
      </c>
      <c r="B7" t="s">
        <v>27</v>
      </c>
      <c r="C7" t="s">
        <v>86</v>
      </c>
      <c r="D7" t="s">
        <v>68</v>
      </c>
      <c r="E7" s="10" t="s">
        <v>87</v>
      </c>
      <c r="F7" s="5" t="s">
        <v>88</v>
      </c>
      <c r="G7" t="s">
        <v>89</v>
      </c>
      <c r="H7">
        <v>1</v>
      </c>
      <c r="I7" s="2" t="s">
        <v>90</v>
      </c>
      <c r="J7" s="12">
        <f t="shared" si="0"/>
        <v>450000</v>
      </c>
    </row>
    <row r="8" spans="1:10" x14ac:dyDescent="0.25">
      <c r="A8" t="s">
        <v>70</v>
      </c>
      <c r="B8" t="s">
        <v>26</v>
      </c>
      <c r="C8" t="s">
        <v>86</v>
      </c>
      <c r="D8" t="s">
        <v>68</v>
      </c>
      <c r="E8" s="10" t="s">
        <v>95</v>
      </c>
      <c r="F8" s="5" t="s">
        <v>88</v>
      </c>
      <c r="G8" t="s">
        <v>89</v>
      </c>
      <c r="H8">
        <v>1</v>
      </c>
      <c r="I8" s="2" t="s">
        <v>90</v>
      </c>
      <c r="J8" s="12">
        <f t="shared" si="0"/>
        <v>600000</v>
      </c>
    </row>
    <row r="9" spans="1:10" x14ac:dyDescent="0.25">
      <c r="A9" t="s">
        <v>70</v>
      </c>
      <c r="B9" t="s">
        <v>29</v>
      </c>
      <c r="C9" t="s">
        <v>86</v>
      </c>
      <c r="D9" t="s">
        <v>68</v>
      </c>
      <c r="E9" s="10" t="s">
        <v>87</v>
      </c>
      <c r="F9" s="5" t="s">
        <v>88</v>
      </c>
      <c r="G9" t="s">
        <v>89</v>
      </c>
      <c r="H9">
        <v>1</v>
      </c>
      <c r="I9" s="2" t="s">
        <v>90</v>
      </c>
      <c r="J9" s="12">
        <f t="shared" si="0"/>
        <v>450000</v>
      </c>
    </row>
    <row r="21" spans="6:6" x14ac:dyDescent="0.25">
      <c r="F21" s="3"/>
    </row>
  </sheetData>
  <autoFilter ref="B1:I1" xr:uid="{00000000-0009-0000-0000-000007000000}">
    <sortState xmlns:xlrd2="http://schemas.microsoft.com/office/spreadsheetml/2017/richdata2" ref="B2:I9">
      <sortCondition ref="B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C3"/>
  <sheetViews>
    <sheetView workbookViewId="0">
      <selection activeCell="L17" sqref="L17"/>
    </sheetView>
  </sheetViews>
  <sheetFormatPr baseColWidth="10" defaultRowHeight="15" x14ac:dyDescent="0.25"/>
  <sheetData>
    <row r="1" spans="1:3" x14ac:dyDescent="0.25">
      <c r="A1" t="s">
        <v>40</v>
      </c>
      <c r="B1" t="s">
        <v>96</v>
      </c>
      <c r="C1" s="3"/>
    </row>
    <row r="2" spans="1:3" x14ac:dyDescent="0.25">
      <c r="A2">
        <v>0.105</v>
      </c>
      <c r="B2" t="s">
        <v>97</v>
      </c>
      <c r="C2" s="3"/>
    </row>
    <row r="3" spans="1:3" x14ac:dyDescent="0.25">
      <c r="A3">
        <v>0.21</v>
      </c>
      <c r="B3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B3"/>
  <sheetViews>
    <sheetView workbookViewId="0">
      <selection activeCell="G16" sqref="G16"/>
    </sheetView>
  </sheetViews>
  <sheetFormatPr baseColWidth="10" defaultRowHeight="15" x14ac:dyDescent="0.25"/>
  <cols>
    <col min="1" max="1" width="13.42578125" bestFit="1" customWidth="1"/>
    <col min="2" max="2" width="21.85546875" bestFit="1" customWidth="1"/>
  </cols>
  <sheetData>
    <row r="1" spans="1:2" x14ac:dyDescent="0.25">
      <c r="A1" t="s">
        <v>38</v>
      </c>
      <c r="B1" t="s">
        <v>65</v>
      </c>
    </row>
    <row r="2" spans="1:2" x14ac:dyDescent="0.25">
      <c r="A2" t="s">
        <v>52</v>
      </c>
      <c r="B2" t="s">
        <v>74</v>
      </c>
    </row>
    <row r="3" spans="1:2" x14ac:dyDescent="0.25">
      <c r="A3" t="s">
        <v>47</v>
      </c>
      <c r="B3" t="s">
        <v>71</v>
      </c>
    </row>
  </sheetData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B13"/>
  <sheetViews>
    <sheetView workbookViewId="0">
      <selection activeCell="A2" sqref="A2:A13"/>
    </sheetView>
  </sheetViews>
  <sheetFormatPr baseColWidth="10" defaultRowHeight="15" x14ac:dyDescent="0.25"/>
  <cols>
    <col min="1" max="1" width="33.5703125" bestFit="1" customWidth="1"/>
    <col min="2" max="3" width="25.42578125" bestFit="1" customWidth="1"/>
  </cols>
  <sheetData>
    <row r="1" spans="1:2" x14ac:dyDescent="0.25">
      <c r="A1" t="s">
        <v>9</v>
      </c>
      <c r="B1" t="s">
        <v>37</v>
      </c>
    </row>
    <row r="2" spans="1:2" x14ac:dyDescent="0.25">
      <c r="A2" t="s">
        <v>18</v>
      </c>
      <c r="B2" t="s">
        <v>98</v>
      </c>
    </row>
    <row r="3" spans="1:2" x14ac:dyDescent="0.25">
      <c r="A3" t="s">
        <v>24</v>
      </c>
      <c r="B3" t="s">
        <v>99</v>
      </c>
    </row>
    <row r="4" spans="1:2" x14ac:dyDescent="0.25">
      <c r="A4" t="s">
        <v>23</v>
      </c>
      <c r="B4" t="s">
        <v>100</v>
      </c>
    </row>
    <row r="5" spans="1:2" x14ac:dyDescent="0.25">
      <c r="A5" t="s">
        <v>27</v>
      </c>
      <c r="B5" t="s">
        <v>101</v>
      </c>
    </row>
    <row r="6" spans="1:2" x14ac:dyDescent="0.25">
      <c r="A6" t="s">
        <v>26</v>
      </c>
      <c r="B6" t="s">
        <v>102</v>
      </c>
    </row>
    <row r="7" spans="1:2" x14ac:dyDescent="0.25">
      <c r="A7" t="s">
        <v>28</v>
      </c>
      <c r="B7" t="s">
        <v>103</v>
      </c>
    </row>
    <row r="8" spans="1:2" x14ac:dyDescent="0.25">
      <c r="A8" t="s">
        <v>25</v>
      </c>
      <c r="B8" t="s">
        <v>104</v>
      </c>
    </row>
    <row r="9" spans="1:2" x14ac:dyDescent="0.25">
      <c r="A9" t="s">
        <v>29</v>
      </c>
      <c r="B9" t="s">
        <v>105</v>
      </c>
    </row>
    <row r="10" spans="1:2" x14ac:dyDescent="0.25">
      <c r="A10" t="s">
        <v>30</v>
      </c>
      <c r="B10" t="s">
        <v>106</v>
      </c>
    </row>
    <row r="11" spans="1:2" x14ac:dyDescent="0.25">
      <c r="A11" t="s">
        <v>107</v>
      </c>
      <c r="B11" t="s">
        <v>108</v>
      </c>
    </row>
    <row r="12" spans="1:2" x14ac:dyDescent="0.25">
      <c r="A12" t="s">
        <v>22</v>
      </c>
      <c r="B12" t="s">
        <v>109</v>
      </c>
    </row>
    <row r="13" spans="1:2" x14ac:dyDescent="0.25">
      <c r="A13" t="s">
        <v>23</v>
      </c>
      <c r="B13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D15"/>
  <sheetViews>
    <sheetView workbookViewId="0">
      <selection activeCell="A14" sqref="A14"/>
    </sheetView>
  </sheetViews>
  <sheetFormatPr baseColWidth="10" defaultRowHeight="15" x14ac:dyDescent="0.25"/>
  <cols>
    <col min="1" max="1" width="37.85546875" bestFit="1" customWidth="1"/>
    <col min="3" max="3" width="31" bestFit="1" customWidth="1"/>
  </cols>
  <sheetData>
    <row r="1" spans="1:4" x14ac:dyDescent="0.25">
      <c r="A1" t="s">
        <v>111</v>
      </c>
      <c r="B1" t="s">
        <v>112</v>
      </c>
      <c r="C1" t="s">
        <v>113</v>
      </c>
      <c r="D1" t="s">
        <v>114</v>
      </c>
    </row>
    <row r="2" spans="1:4" x14ac:dyDescent="0.25">
      <c r="A2" t="s">
        <v>17</v>
      </c>
      <c r="B2" t="s">
        <v>97</v>
      </c>
      <c r="C2" t="s">
        <v>71</v>
      </c>
      <c r="D2" t="s">
        <v>50</v>
      </c>
    </row>
    <row r="3" spans="1:4" x14ac:dyDescent="0.25">
      <c r="A3" t="s">
        <v>115</v>
      </c>
      <c r="B3" t="s">
        <v>68</v>
      </c>
      <c r="C3" t="s">
        <v>74</v>
      </c>
      <c r="D3" t="s">
        <v>89</v>
      </c>
    </row>
    <row r="4" spans="1:4" x14ac:dyDescent="0.25">
      <c r="A4" t="s">
        <v>116</v>
      </c>
      <c r="C4" t="s">
        <v>117</v>
      </c>
    </row>
    <row r="5" spans="1:4" x14ac:dyDescent="0.25">
      <c r="A5" t="s">
        <v>118</v>
      </c>
      <c r="C5" t="s">
        <v>119</v>
      </c>
    </row>
    <row r="6" spans="1:4" x14ac:dyDescent="0.25">
      <c r="A6" t="s">
        <v>120</v>
      </c>
      <c r="C6" t="s">
        <v>121</v>
      </c>
    </row>
    <row r="7" spans="1:4" x14ac:dyDescent="0.25">
      <c r="A7" t="s">
        <v>122</v>
      </c>
      <c r="C7" t="s">
        <v>123</v>
      </c>
    </row>
    <row r="8" spans="1:4" x14ac:dyDescent="0.25">
      <c r="C8" t="s">
        <v>124</v>
      </c>
    </row>
    <row r="9" spans="1:4" x14ac:dyDescent="0.25">
      <c r="C9" t="s">
        <v>125</v>
      </c>
    </row>
    <row r="10" spans="1:4" x14ac:dyDescent="0.25">
      <c r="C10" t="s">
        <v>126</v>
      </c>
    </row>
    <row r="11" spans="1:4" x14ac:dyDescent="0.25">
      <c r="C11" t="s">
        <v>127</v>
      </c>
    </row>
    <row r="12" spans="1:4" x14ac:dyDescent="0.25">
      <c r="C12" t="s">
        <v>128</v>
      </c>
    </row>
    <row r="13" spans="1:4" x14ac:dyDescent="0.25">
      <c r="C13" t="s">
        <v>129</v>
      </c>
    </row>
    <row r="14" spans="1:4" x14ac:dyDescent="0.25">
      <c r="C14" t="s">
        <v>67</v>
      </c>
    </row>
    <row r="15" spans="1:4" x14ac:dyDescent="0.25">
      <c r="C1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Sheet2</vt:lpstr>
      <vt:lpstr>general</vt:lpstr>
      <vt:lpstr>Controles</vt:lpstr>
      <vt:lpstr>conceptoFijo</vt:lpstr>
      <vt:lpstr>conceptoVariable</vt:lpstr>
      <vt:lpstr>conceptoMovilidad</vt:lpstr>
      <vt:lpstr>conceptoRecuperos</vt:lpstr>
      <vt:lpstr>conceptoAnticipos</vt:lpstr>
      <vt:lpstr>Traductor_iva</vt:lpstr>
      <vt:lpstr>Traductor_centroCosto</vt:lpstr>
      <vt:lpstr>Traductor_cliente</vt:lpstr>
      <vt:lpstr>Padrones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Alanis, Pablo</dc:creator>
  <cp:lastModifiedBy>Pablo Alanis</cp:lastModifiedBy>
  <dcterms:created xsi:type="dcterms:W3CDTF">2024-02-15T21:25:02Z</dcterms:created>
  <dcterms:modified xsi:type="dcterms:W3CDTF">2025-06-03T02:02:55Z</dcterms:modified>
</cp:coreProperties>
</file>