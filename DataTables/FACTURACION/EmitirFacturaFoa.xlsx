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03" firstSheet="0" activeTab="1" autoFilterDateGrouping="1"/>
  </bookViews>
  <sheets>
    <sheet name="Sheet2" sheetId="1" state="visible" r:id="rId1"/>
    <sheet name="general" sheetId="2" state="visible" r:id="rId2"/>
    <sheet name="conceptoRecuperos" sheetId="3" state="visible" r:id="rId3"/>
    <sheet name="Control" sheetId="4" state="visible" r:id="rId4"/>
    <sheet name="conceptoFijo" sheetId="5" state="visible" r:id="rId5"/>
    <sheet name="conceptoVariable" sheetId="6" state="visible" r:id="rId6"/>
    <sheet name="conceptoMovilidad" sheetId="7" state="visible" r:id="rId7"/>
    <sheet name="conceptoAnticipos" sheetId="8" state="visible" r:id="rId8"/>
    <sheet name="Traductor_iva" sheetId="9" state="hidden" r:id="rId9"/>
    <sheet name="Traductor_centroCosto" sheetId="10" state="hidden" r:id="rId10"/>
    <sheet name="Traductor_cliente" sheetId="11" state="hidden" r:id="rId11"/>
    <sheet name="Padrones" sheetId="12" state="visible" r:id="rId12"/>
  </sheets>
  <definedNames>
    <definedName name="_xlnm._FilterDatabase" localSheetId="2" hidden="1">'conceptoRecuperos'!$A$1:$M$34</definedName>
  </definedNames>
  <calcPr calcId="181029" fullCalcOnLoad="1"/>
  <pivotCaches>
    <pivotCache cacheId="19" r:id="rId13"/>
  </pivotCaches>
</workbook>
</file>

<file path=xl/styles.xml><?xml version="1.0" encoding="utf-8"?>
<styleSheet xmlns="http://schemas.openxmlformats.org/spreadsheetml/2006/main">
  <numFmts count="4">
    <numFmt numFmtId="164" formatCode="_-&quot;$&quot;\ * #,##0.00_-;\-&quot;$&quot;\ * #,##0.00_-;_-&quot;$&quot;\ * &quot;-&quot;??_-;_-@_-"/>
    <numFmt numFmtId="165" formatCode="_ * #,##0.00_ ;_ * \-#,##0.00_ ;_ * &quot;-&quot;??_ ;_ @_ "/>
    <numFmt numFmtId="166" formatCode="_ &quot;$&quot;\ * #,##0.00_ ;_ &quot;$&quot;\ * \-#,##0.00_ ;_ &quot;$&quot;\ * &quot;-&quot;??_ ;_ @_ "/>
    <numFmt numFmtId="167" formatCode="_ * #,##0_ ;_ * \-#,##0_ ;_ * &quot;-&quot;??_ ;_ @_ 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 Light"/>
      <family val="2"/>
      <b val="1"/>
      <color theme="3"/>
      <sz val="18"/>
      <scheme val="major"/>
    </font>
    <font>
      <name val="Calibri"/>
      <family val="2"/>
      <color rgb="FF9C6500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sz val="10"/>
    </font>
    <font>
      <name val="Calibri"/>
      <family val="2"/>
      <color rgb="FF000000"/>
      <sz val="11"/>
    </font>
    <font>
      <name val="Arial"/>
      <family val="2"/>
      <sz val="11"/>
    </font>
    <font>
      <name val="Calibri"/>
      <family val="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38">
    <xf numFmtId="0" fontId="2" fillId="0" borderId="0"/>
    <xf numFmtId="44" fontId="2" fillId="0" borderId="0"/>
    <xf numFmtId="165" fontId="2" fillId="0" borderId="0"/>
    <xf numFmtId="166" fontId="2" fillId="0" borderId="0"/>
    <xf numFmtId="0" fontId="4" fillId="0" borderId="0"/>
    <xf numFmtId="0" fontId="5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0" fontId="6" fillId="0" borderId="0"/>
    <xf numFmtId="167" fontId="6" fillId="0" borderId="0"/>
    <xf numFmtId="0" fontId="7" fillId="0" borderId="0"/>
    <xf numFmtId="166" fontId="7" fillId="0" borderId="0"/>
    <xf numFmtId="0" fontId="8" fillId="0" borderId="0"/>
    <xf numFmtId="0" fontId="9" fillId="0" borderId="0"/>
    <xf numFmtId="166" fontId="9" fillId="0" borderId="0"/>
    <xf numFmtId="44" fontId="2" fillId="0" borderId="0"/>
    <xf numFmtId="44" fontId="2" fillId="0" borderId="0"/>
    <xf numFmtId="166" fontId="7" fillId="0" borderId="0"/>
    <xf numFmtId="166" fontId="9" fillId="0" borderId="0"/>
    <xf numFmtId="165" fontId="2" fillId="0" borderId="0"/>
    <xf numFmtId="166" fontId="2" fillId="0" borderId="0"/>
    <xf numFmtId="0" fontId="4" fillId="0" borderId="0"/>
    <xf numFmtId="0" fontId="5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10" borderId="0"/>
    <xf numFmtId="167" fontId="6" fillId="0" borderId="0"/>
    <xf numFmtId="166" fontId="7" fillId="0" borderId="0"/>
    <xf numFmtId="0" fontId="8" fillId="0" borderId="0"/>
    <xf numFmtId="166" fontId="9" fillId="0" borderId="0"/>
    <xf numFmtId="44" fontId="2" fillId="0" borderId="0"/>
  </cellStyleXfs>
  <cellXfs count="28">
    <xf numFmtId="0" fontId="0" fillId="0" borderId="0" pivotButton="0" quotePrefix="0" xfId="0"/>
    <xf numFmtId="14" fontId="0" fillId="0" borderId="0" pivotButton="0" quotePrefix="1" xfId="0"/>
    <xf numFmtId="0" fontId="0" fillId="0" borderId="0" pivotButton="0" quotePrefix="1" xfId="0"/>
    <xf numFmtId="0" fontId="1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0" fillId="2" borderId="0" pivotButton="0" quotePrefix="0" xfId="1"/>
    <xf numFmtId="49" fontId="0" fillId="0" borderId="0" pivotButton="0" quotePrefix="0" xfId="1"/>
    <xf numFmtId="49" fontId="0" fillId="0" borderId="0" pivotButton="0" quotePrefix="1" xfId="1"/>
    <xf numFmtId="49" fontId="0" fillId="2" borderId="0" pivotButton="0" quotePrefix="0" xfId="0"/>
    <xf numFmtId="49" fontId="0" fillId="0" borderId="0" pivotButton="0" quotePrefix="0" xfId="0"/>
    <xf numFmtId="2" fontId="0" fillId="0" borderId="0" pivotButton="0" quotePrefix="0" xfId="1"/>
    <xf numFmtId="164" fontId="2" fillId="0" borderId="0" pivotButton="0" quotePrefix="0" xfId="1"/>
    <xf numFmtId="49" fontId="0" fillId="3" borderId="0" pivotButton="0" quotePrefix="0" xfId="0"/>
    <xf numFmtId="49" fontId="0" fillId="3" borderId="0" pivotButton="0" quotePrefix="1" xfId="0"/>
    <xf numFmtId="49" fontId="0" fillId="0" borderId="0" pivotButton="0" quotePrefix="1" xfId="0"/>
    <xf numFmtId="164" fontId="0" fillId="0" borderId="0" pivotButton="0" quotePrefix="0" xfId="0"/>
    <xf numFmtId="49" fontId="0" fillId="3" borderId="0" applyAlignment="1" pivotButton="0" quotePrefix="1" xfId="0">
      <alignment wrapText="1"/>
    </xf>
    <xf numFmtId="49" fontId="0" fillId="0" borderId="0" applyAlignment="1" pivotButton="0" quotePrefix="1" xfId="0">
      <alignment wrapText="1"/>
    </xf>
    <xf numFmtId="49" fontId="10" fillId="0" borderId="0" pivotButton="0" quotePrefix="1" xfId="0"/>
    <xf numFmtId="49" fontId="1" fillId="3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164" fontId="0" fillId="11" borderId="0" pivotButton="0" quotePrefix="0" xfId="0"/>
    <xf numFmtId="164" fontId="2" fillId="0" borderId="0" pivotButton="0" quotePrefix="0" xfId="1"/>
    <xf numFmtId="164" fontId="0" fillId="0" borderId="0" pivotButton="0" quotePrefix="0" xfId="0"/>
    <xf numFmtId="164" fontId="0" fillId="11" borderId="0" pivotButton="0" quotePrefix="0" xfId="0"/>
  </cellXfs>
  <cellStyles count="38">
    <cellStyle name="Normal" xfId="0" builtinId="0"/>
    <cellStyle name="Moneda" xfId="1" builtinId="4"/>
    <cellStyle name="Millares 2" xfId="2"/>
    <cellStyle name="Moneda 6" xfId="3"/>
    <cellStyle name="Título 4" xfId="4"/>
    <cellStyle name="Neutral 2" xfId="5"/>
    <cellStyle name="60% - Énfasis1 2" xfId="6"/>
    <cellStyle name="60% - Énfasis2 2" xfId="7"/>
    <cellStyle name="60% - Énfasis3 2" xfId="8"/>
    <cellStyle name="60% - Énfasis4 2" xfId="9"/>
    <cellStyle name="60% - Énfasis5 2" xfId="10"/>
    <cellStyle name="60% - Énfasis6 2" xfId="11"/>
    <cellStyle name="Normal 2" xfId="12"/>
    <cellStyle name="Moneda 2" xfId="13"/>
    <cellStyle name="Normal 3" xfId="14"/>
    <cellStyle name="Moneda 3" xfId="15"/>
    <cellStyle name="Normal 4" xfId="16"/>
    <cellStyle name="Normal 5" xfId="17"/>
    <cellStyle name="Moneda 4" xfId="18"/>
    <cellStyle name="Moneda 5" xfId="19"/>
    <cellStyle name="Moneda 7" xfId="20"/>
    <cellStyle name="Moneda 3 2" xfId="21"/>
    <cellStyle name="Moneda 4 2" xfId="22"/>
    <cellStyle name="Millares 3" xfId="23"/>
    <cellStyle name="Moneda 8" xfId="24"/>
    <cellStyle name="Título 5" xfId="25"/>
    <cellStyle name="Neutral 3" xfId="26"/>
    <cellStyle name="60% - Énfasis1 3" xfId="27"/>
    <cellStyle name="60% - Énfasis2 3" xfId="28"/>
    <cellStyle name="60% - Énfasis3 3" xfId="29"/>
    <cellStyle name="60% - Énfasis4 3" xfId="30"/>
    <cellStyle name="60% - Énfasis5 3" xfId="31"/>
    <cellStyle name="60% - Énfasis6 3" xfId="32"/>
    <cellStyle name="Moneda 2 2" xfId="33"/>
    <cellStyle name="Moneda 3 3" xfId="34"/>
    <cellStyle name="Normal 4 2" xfId="35"/>
    <cellStyle name="Moneda 4 3" xfId="36"/>
    <cellStyle name="Moneda 5 2" xfId="37"/>
  </cellStyles>
  <dxfs count="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$&quot;\ * #,##0.00_-;\-&quot;$&quot;\ * #,##0.00_-;_-&quot;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$&quot;\ * #,##0.00_-;\-&quot;$&quot;\ * #,##0.00_-;_-&quot;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$&quot;\ * #,##0.00_-;\-&quot;$&quot;\ * #,##0.00_-;_-&quot;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4" formatCode="_-&quot;$&quot;\ * #,##0.00_-;\-&quot;$&quot;\ * #,##0.00_-;_-&quot;$&quot;\ * &quot;-&quot;??_-;_-@_-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Pablo" refreshedDate="45790.95587824074" createdVersion="8" refreshedVersion="8" minRefreshableVersion="3" recordCount="34" r:id="rId1">
  <cacheSource type="worksheet">
    <worksheetSource ref="A1:M35" sheet="conceptoRecuperos"/>
  </cacheSource>
  <cacheFields count="13">
    <cacheField name="i_factura" uniqueList="1" numFmtId="0" sqlType="0" hierarchy="0" level="0" databaseField="1">
      <sharedItems count="0"/>
    </cacheField>
    <cacheField name="t_cliente" uniqueList="1" numFmtId="0" sqlType="0" hierarchy="0" level="0" databaseField="1">
      <sharedItems count="6">
        <s v="CABALGANDO SAFI"/>
        <s v="FINCAS Y BODEGAS MONTECHEZ S.A."/>
        <s v="FOI TERRUÑOS DE LOS ANDES"/>
        <s v="GRANAR S.A.C y F."/>
        <s v="GRANAR S.A.C y F. (AB)"/>
        <s v="LLORENTE HNOS SA"/>
      </sharedItems>
    </cacheField>
    <cacheField name="i_centroCosto" uniqueList="1" numFmtId="0" sqlType="0" hierarchy="0" level="0" databaseField="1">
      <sharedItems count="0"/>
    </cacheField>
    <cacheField name="i_alicuota" uniqueList="1" numFmtId="0" sqlType="0" hierarchy="0" level="0" databaseField="1">
      <sharedItems count="0"/>
    </cacheField>
    <cacheField name="i_netoGravado" uniqueList="1" numFmtId="49" sqlType="0" hierarchy="0" level="0" databaseField="1">
      <sharedItems count="0" containsBlank="1" containsNumber="1" containsString="0" minValue="44257.72400323056" maxValue="18959178.56800465"/>
    </cacheField>
    <cacheField name="i_descripcion" uniqueList="1" numFmtId="0" sqlType="0" hierarchy="0" level="0" databaseField="1">
      <sharedItems count="0"/>
    </cacheField>
    <cacheField name="i_tipoItem" uniqueList="1" numFmtId="0" sqlType="0" hierarchy="0" level="0" databaseField="1">
      <sharedItems count="0"/>
    </cacheField>
    <cacheField name="i_unidades" uniqueList="1" numFmtId="0" sqlType="0" hierarchy="0" level="0" databaseField="1">
      <sharedItems count="0" containsInteger="1" containsNumber="1" containsSemiMixedTypes="0" containsString="0" minValue="1" maxValue="1"/>
    </cacheField>
    <cacheField name="i_cuentaContable" uniqueList="1" numFmtId="0" sqlType="0" hierarchy="0" level="0" databaseField="1">
      <sharedItems count="0"/>
    </cacheField>
    <cacheField name="formatoNumero" uniqueList="1" numFmtId="44" sqlType="0" hierarchy="0" level="0" databaseField="1">
      <sharedItems count="0" containsNumber="1" containsSemiMixedTypes="0" containsString="0" minValue="0" maxValue="18959178.56800465"/>
    </cacheField>
    <cacheField name="IVA21" uniqueList="1" numFmtId="44" sqlType="0" hierarchy="0" level="0" databaseField="1">
      <sharedItems count="0" containsNumber="1" containsSemiMixedTypes="0" containsString="0" minValue="0" maxValue="142743.6409588355"/>
    </cacheField>
    <cacheField name="IVA27" uniqueList="1" numFmtId="44" sqlType="0" hierarchy="0" level="0" databaseField="1">
      <sharedItems count="0" containsNumber="1" containsSemiMixedTypes="0" containsString="0" minValue="0" maxValue="5118978.213361257"/>
    </cacheField>
    <cacheField name="Final" uniqueList="1" numFmtId="44" sqlType="0" hierarchy="0" level="0" databaseField="1">
      <sharedItems count="0" containsNumber="1" containsSemiMixedTypes="0" containsString="0" minValue="0" maxValue="24078156.78136591"/>
    </cacheField>
  </cacheFields>
</pivotCacheDefinition>
</file>

<file path=xl/pivotCache/pivotCacheRecords1.xml><?xml version="1.0" encoding="utf-8"?>
<pivotCacheRecords xmlns="http://schemas.openxmlformats.org/spreadsheetml/2006/main" count="34">
  <r>
    <s v="SI"/>
    <x v="0"/>
    <s v="CONSUMO DE AGUA"/>
    <s v="IVA (27%)"/>
    <n v="18959178.56800465"/>
    <s v="RECUPERO ENERGIA ELECTRICA Periodo:"/>
    <s v="Concepto"/>
    <n v="1"/>
    <s v="418001002"/>
    <n v="18959178.56800465"/>
    <n v="0"/>
    <n v="5118978.213361257"/>
    <n v="24078156.78136591"/>
  </r>
  <r>
    <s v="SI"/>
    <x v="0"/>
    <s v="GENERAL"/>
    <s v="IVA (21%)"/>
    <n v="187444.4781313295"/>
    <s v="RENDICIÓN GASTOS FIDEICOMISO Periodo:"/>
    <s v="Concepto"/>
    <n v="1"/>
    <s v="418001002"/>
    <n v="187444.4781313295"/>
    <n v="39363.34040757919"/>
    <n v="0"/>
    <n v="226807.8185389087"/>
  </r>
  <r>
    <s v="SI"/>
    <x v="0"/>
    <s v="LA INDIA"/>
    <s v="IVA (21%)"/>
    <n v="679731.6236135026"/>
    <s v="RENDICIÓN GASTOS FIDEICOMISO Periodo:"/>
    <s v="Concepto"/>
    <n v="1"/>
    <s v="418001002"/>
    <n v="679731.6236135026"/>
    <n v="142743.6409588355"/>
    <n v="0"/>
    <n v="822475.2645723382"/>
  </r>
  <r>
    <s v="NO"/>
    <x v="0"/>
    <s v="POZO 2"/>
    <s v="IVA (21%)"/>
    <m/>
    <s v="RENDICIÓN GASTOS FIDEICOMISO Periodo:"/>
    <s v="Concepto"/>
    <n v="1"/>
    <s v="418001002"/>
    <n v="0"/>
    <n v="0"/>
    <n v="0"/>
    <n v="0"/>
  </r>
  <r>
    <s v="SI"/>
    <x v="1"/>
    <s v="AGUA POZO 1"/>
    <s v="IVA (27%)"/>
    <n v="319384.9009558766"/>
    <s v="RECUPERO ENERGIA ELECTRICA Periodo:"/>
    <s v="Concepto"/>
    <n v="1"/>
    <s v="418001002"/>
    <n v="319384.9009558766"/>
    <n v="0"/>
    <n v="86233.92325808668"/>
    <n v="405618.8242139632"/>
  </r>
  <r>
    <s v="SI"/>
    <x v="1"/>
    <s v="AGUA POZO 3"/>
    <s v="IVA (27%)"/>
    <n v="409240.0481302512"/>
    <s v="RECUPERO ENERGIA ELECTRICA Periodo:"/>
    <s v="Concepto"/>
    <n v="1"/>
    <s v="418001002"/>
    <n v="409240.0481302512"/>
    <n v="0"/>
    <n v="110494.8129951678"/>
    <n v="519734.8611254191"/>
  </r>
  <r>
    <s v="NO"/>
    <x v="1"/>
    <s v="CONSUMO DE AGUA"/>
    <s v="IVA (27%)"/>
    <m/>
    <s v="RECUPERO ENERGIA ELECTRICA Periodo:"/>
    <s v="Concepto"/>
    <n v="1"/>
    <s v="418001002"/>
    <n v="0"/>
    <n v="0"/>
    <n v="0"/>
    <n v="0"/>
  </r>
  <r>
    <s v="SI"/>
    <x v="1"/>
    <s v="GENERAL"/>
    <s v="IVA (21%)"/>
    <n v="149955.5825050636"/>
    <s v="RENDICIÓN GASTOS FIDEICOMISO Periodo:"/>
    <s v="Concepto"/>
    <n v="1"/>
    <s v="418001002"/>
    <n v="149955.5825050636"/>
    <n v="31490.67232606335"/>
    <n v="0"/>
    <n v="181446.2548311269"/>
  </r>
  <r>
    <s v="SI"/>
    <x v="1"/>
    <s v="LA INDIA"/>
    <s v="IVA (21%)"/>
    <n v="543785.2988908022"/>
    <s v="RENDICIÓN GASTOS FIDEICOMISO Periodo:"/>
    <s v="Concepto"/>
    <n v="1"/>
    <s v="418001002"/>
    <n v="543785.2988908022"/>
    <n v="114194.9127670685"/>
    <n v="0"/>
    <n v="657980.2116578707"/>
  </r>
  <r>
    <s v="NO"/>
    <x v="1"/>
    <s v="POZO 3"/>
    <s v="IVA (21%)"/>
    <m/>
    <s v="RENDICIÓN GASTOS FIDEICOMISO Periodo:"/>
    <s v="Concepto"/>
    <n v="1"/>
    <s v="418001002"/>
    <n v="0"/>
    <n v="0"/>
    <n v="0"/>
    <n v="0"/>
  </r>
  <r>
    <s v="SI"/>
    <x v="2"/>
    <s v="AGUA POZO 1"/>
    <s v="IVA (27%)"/>
    <n v="838874.4163529938"/>
    <s v="RECUPERO ENERGIA ELECTRICA Periodo:"/>
    <s v="Concepto"/>
    <n v="1"/>
    <s v="418001002"/>
    <n v="838874.4163529938"/>
    <n v="0"/>
    <n v="226496.0924153083"/>
    <n v="1065370.508768302"/>
  </r>
  <r>
    <s v="SI"/>
    <x v="2"/>
    <s v="AGUA POZO 3"/>
    <s v="IVA (27%)"/>
    <n v="1153726.931152588"/>
    <s v="RECUPERO ENERGIA ELECTRICA Periodo:"/>
    <s v="Concepto"/>
    <n v="1"/>
    <s v="418001002"/>
    <n v="1153726.931152588"/>
    <n v="0"/>
    <n v="311506.2714111987"/>
    <n v="1465233.202563786"/>
  </r>
  <r>
    <s v="NO"/>
    <x v="2"/>
    <s v="CONSUMO DE AGUA"/>
    <s v="IVA (27%)"/>
    <m/>
    <s v="RECUPERO ENERGIA ELECTRICA Periodo:"/>
    <s v="Concepto"/>
    <n v="1"/>
    <s v="418001002"/>
    <n v="0"/>
    <n v="0"/>
    <n v="0"/>
    <n v="0"/>
  </r>
  <r>
    <s v="SI"/>
    <x v="2"/>
    <s v="GENERAL"/>
    <s v="IVA (21%)"/>
    <n v="90480.49095220458"/>
    <s v="RENDICIÓN GASTOS FIDEICOMISO Periodo:"/>
    <s v="Concepto"/>
    <n v="1"/>
    <s v="418001002"/>
    <n v="90480.49095220458"/>
    <n v="19000.90309996296"/>
    <n v="0"/>
    <n v="109481.3940521675"/>
  </r>
  <r>
    <s v="SI"/>
    <x v="2"/>
    <s v="LA INDIA"/>
    <s v="IVA (21%)"/>
    <n v="328110.2310050356"/>
    <s v="RENDICIÓN GASTOS FIDEICOMISO Periodo:"/>
    <s v="Concepto"/>
    <n v="1"/>
    <s v="418001002"/>
    <n v="328110.2310050356"/>
    <n v="68903.14851105749"/>
    <n v="0"/>
    <n v="397013.3795160931"/>
  </r>
  <r>
    <s v="NO"/>
    <x v="2"/>
    <s v="POZO 1"/>
    <s v="IVA (21%)"/>
    <m/>
    <s v="RENDICIÓN GASTOS FIDEICOMISO Periodo:"/>
    <s v="Concepto"/>
    <n v="1"/>
    <s v="418001002"/>
    <n v="0"/>
    <n v="0"/>
    <n v="0"/>
    <n v="0"/>
  </r>
  <r>
    <s v="SI"/>
    <x v="3"/>
    <s v="AGUA POZO 1"/>
    <s v="IVA (27%)"/>
    <n v="745057.6481347701"/>
    <s v="RECUPERO ENERGIA ELECTRICA Periodo:"/>
    <s v="Concepto"/>
    <n v="1"/>
    <s v="418001002"/>
    <n v="745057.6481347701"/>
    <n v="0"/>
    <n v="201165.564996388"/>
    <n v="946223.213131158"/>
  </r>
  <r>
    <s v="SI"/>
    <x v="3"/>
    <s v="AGUA POZO 3"/>
    <s v="IVA (27%)"/>
    <n v="859343.9439895941"/>
    <s v="RECUPERO ENERGIA ELECTRICA Periodo:"/>
    <s v="Concepto"/>
    <n v="1"/>
    <s v="418001002"/>
    <n v="859343.9439895941"/>
    <n v="0"/>
    <n v="232022.8648771904"/>
    <n v="1091366.808866784"/>
  </r>
  <r>
    <s v="NO"/>
    <x v="3"/>
    <s v="CONSUMO DE AGUA"/>
    <s v="IVA (27%)"/>
    <m/>
    <s v="RECUPERO ENERGIA ELECTRICA Periodo:"/>
    <s v="Concepto"/>
    <n v="1"/>
    <s v="418001002"/>
    <n v="0"/>
    <n v="0"/>
    <n v="0"/>
    <n v="0"/>
  </r>
  <r>
    <s v="SI"/>
    <x v="3"/>
    <s v="GENERAL"/>
    <s v="IVA (21%)"/>
    <n v="44257.72400323056"/>
    <s v="RENDICIÓN GASTOS FIDEICOMISO Periodo:"/>
    <s v="Concepto"/>
    <n v="1"/>
    <s v="418001002"/>
    <n v="44257.72400323056"/>
    <n v="9294.122040678418"/>
    <n v="0"/>
    <n v="53551.84604390898"/>
  </r>
  <r>
    <s v="SI"/>
    <x v="3"/>
    <s v="LA INDIA"/>
    <s v="IVA (21%)"/>
    <n v="160492.1889087438"/>
    <s v="RENDICIÓN GASTOS FIDEICOMISO Periodo:"/>
    <s v="Concepto"/>
    <n v="1"/>
    <s v="418001002"/>
    <n v="160492.1889087438"/>
    <n v="33703.35967083619"/>
    <n v="0"/>
    <n v="194195.5485795799"/>
  </r>
  <r>
    <s v="NO"/>
    <x v="3"/>
    <s v="POZO 1"/>
    <s v="IVA (21%)"/>
    <m/>
    <s v="RENDICIÓN GASTOS FIDEICOMISO Periodo:"/>
    <s v="Concepto"/>
    <n v="1"/>
    <s v="418001002"/>
    <n v="0"/>
    <n v="0"/>
    <n v="0"/>
    <n v="0"/>
  </r>
  <r>
    <s v="SI"/>
    <x v="4"/>
    <s v="AGUA POZO 1"/>
    <s v="IVA (27%)"/>
    <n v="1377109.545337181"/>
    <s v="RECUPERO ENERGIA ELECTRICA Periodo: (AB)"/>
    <s v="Concepto"/>
    <n v="1"/>
    <s v="418001002"/>
    <n v="1377109.545337181"/>
    <n v="0"/>
    <n v="371819.577241039"/>
    <n v="1748929.12257822"/>
  </r>
  <r>
    <s v="SI"/>
    <x v="4"/>
    <s v="AGUA POZO 3"/>
    <s v="IVA (27%)"/>
    <n v="638105.4135885102"/>
    <s v="RECUPERO ENERGIA ELECTRICA Periodo: (AB)"/>
    <s v="Concepto"/>
    <n v="1"/>
    <s v="418001002"/>
    <n v="638105.4135885102"/>
    <n v="0"/>
    <n v="172288.4616688978"/>
    <n v="810393.875257408"/>
  </r>
  <r>
    <s v="SI"/>
    <x v="4"/>
    <s v="CONSUMO DE AGUA"/>
    <s v="IVA (27%)"/>
    <n v="105002.6994626316"/>
    <s v="RECUPERO ENERGIA ELECTRICA Periodo: (AB)"/>
    <s v="Concepto"/>
    <n v="1"/>
    <s v="418001002"/>
    <n v="105002.6994626316"/>
    <n v="0"/>
    <n v="28350.72885491053"/>
    <n v="133353.4283175421"/>
  </r>
  <r>
    <s v="SI"/>
    <x v="4"/>
    <s v="GENERAL"/>
    <s v="IVA (21%)"/>
    <n v="54150.62701571741"/>
    <s v="RENDICIÓN GASTOS FIDEICOMISO Periodo: (AB)"/>
    <s v="Concepto"/>
    <n v="1"/>
    <s v="418001002"/>
    <n v="54150.62701571741"/>
    <n v="11371.63167330066"/>
    <n v="0"/>
    <n v="65522.25868901806"/>
  </r>
  <r>
    <s v="SI"/>
    <x v="4"/>
    <s v="LA INDIA"/>
    <s v="IVA (21%)"/>
    <n v="196366.9134883452"/>
    <s v="RENDICIÓN GASTOS FIDEICOMISO Periodo: (AB)"/>
    <s v="Concepto"/>
    <n v="1"/>
    <s v="418001002"/>
    <n v="196366.9134883452"/>
    <n v="41237.05183255249"/>
    <n v="0"/>
    <n v="237603.9653208977"/>
  </r>
  <r>
    <s v="NO"/>
    <x v="4"/>
    <s v="POZO 3"/>
    <s v="IVA (21%)"/>
    <m/>
    <s v="RENDICIÓN GASTOS FIDEICOMISO Periodo: (AB)"/>
    <s v="Concepto"/>
    <n v="1"/>
    <s v="418001002"/>
    <n v="0"/>
    <n v="0"/>
    <n v="0"/>
    <n v="0"/>
  </r>
  <r>
    <s v="SI"/>
    <x v="5"/>
    <s v="AGUA POZO 1"/>
    <s v="IVA (27%)"/>
    <n v="652413.0217518924"/>
    <s v="RECUPERO ENERGIA ELECTRICA Periodo:"/>
    <s v="Concepto"/>
    <n v="1"/>
    <s v="418001002"/>
    <n v="652413.0217518924"/>
    <n v="0"/>
    <n v="176151.515873011"/>
    <n v="828564.5376249034"/>
  </r>
  <r>
    <s v="SI"/>
    <x v="5"/>
    <s v="AGUA POZO 3"/>
    <s v="IVA (27%)"/>
    <n v="768120.0231390562"/>
    <s v="RECUPERO ENERGIA ELECTRICA Periodo:"/>
    <s v="Concepto"/>
    <n v="1"/>
    <s v="418001002"/>
    <n v="768120.0231390562"/>
    <n v="0"/>
    <n v="207392.4062475452"/>
    <n v="975512.4293866013"/>
  </r>
  <r>
    <s v="NO"/>
    <x v="5"/>
    <s v="CONSUMO DE AGUA"/>
    <s v="IVA (27%)"/>
    <m/>
    <s v="RECUPERO ENERGIA ELECTRICA Periodo:"/>
    <s v="Concepto"/>
    <n v="1"/>
    <s v="418001002"/>
    <n v="0"/>
    <n v="0"/>
    <n v="0"/>
    <n v="0"/>
  </r>
  <r>
    <s v="SI"/>
    <x v="5"/>
    <s v="GENERAL"/>
    <s v="IVA (21%)"/>
    <n v="50064.33739245442"/>
    <s v="RENDICIÓN GASTOS FIDEICOMISO Periodo:"/>
    <s v="Concepto"/>
    <n v="1"/>
    <s v="418001002"/>
    <n v="50064.33739245442"/>
    <n v="10513.51085241543"/>
    <n v="0"/>
    <n v="60577.84824486985"/>
  </r>
  <r>
    <s v="SI"/>
    <x v="5"/>
    <s v="LA INDIA"/>
    <s v="IVA (21%)"/>
    <n v="181548.7640935708"/>
    <s v="RENDICIÓN GASTOS FIDEICOMISO Periodo:"/>
    <s v="Concepto"/>
    <n v="1"/>
    <s v="418001002"/>
    <n v="181548.7640935708"/>
    <n v="38125.24045964987"/>
    <n v="0"/>
    <n v="219674.0045532207"/>
  </r>
  <r>
    <s v="NO"/>
    <x v="5"/>
    <s v="POZO 1"/>
    <s v="IVA (21%)"/>
    <m/>
    <s v="RENDICIÓN GASTOS FIDEICOMISO Periodo:"/>
    <s v="Concepto"/>
    <n v="1"/>
    <s v="418001002"/>
    <n v="0"/>
    <n v="0"/>
    <n v="0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3" cacheId="19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" firstHeaderRow="1" firstDataRow="1" firstDataCol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Suma de Final" fld="12" subtotal="sum" showDataAs="normal" baseField="0" baseItem="0"/>
  </dataFields>
  <formats count="1">
    <format action="formatting" dxfId="3">
      <pivotArea type="normal" dataOnly="1" outline="1" collapsedLevelsAreSubtotals="1" fieldPosition="0">
        <references count="1">
          <reference field="1"/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C7"/>
  <sheetViews>
    <sheetView workbookViewId="0">
      <selection activeCell="L27" sqref="L27"/>
    </sheetView>
  </sheetViews>
  <sheetFormatPr baseColWidth="10" defaultColWidth="9.140625" defaultRowHeight="15"/>
  <cols>
    <col width="31.140625" bestFit="1" customWidth="1" style="23" min="3" max="3"/>
  </cols>
  <sheetData>
    <row r="1">
      <c r="B1" t="inlineStr">
        <is>
          <t>usuario</t>
        </is>
      </c>
      <c r="C1" t="inlineStr">
        <is>
          <t>empresa</t>
        </is>
      </c>
    </row>
    <row r="2">
      <c r="A2" t="inlineStr">
        <is>
          <t>A</t>
        </is>
      </c>
      <c r="B2" s="2" t="inlineStr">
        <is>
          <t>pablo</t>
        </is>
      </c>
      <c r="C2" t="inlineStr">
        <is>
          <t>FOA Aguas de Altamira</t>
        </is>
      </c>
    </row>
    <row r="3">
      <c r="B3" s="2" t="n"/>
    </row>
    <row r="7">
      <c r="B7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K12"/>
  <sheetViews>
    <sheetView tabSelected="1" workbookViewId="0">
      <selection activeCell="D12" sqref="D12"/>
    </sheetView>
  </sheetViews>
  <sheetFormatPr baseColWidth="10" defaultColWidth="9.140625" defaultRowHeight="15"/>
  <cols>
    <col width="8.7109375" bestFit="1" customWidth="1" style="23" min="1" max="1"/>
    <col width="20.140625" bestFit="1" customWidth="1" style="23" min="2" max="2"/>
    <col width="10.7109375" bestFit="1" customWidth="1" style="23" min="3" max="3"/>
    <col width="16.140625" bestFit="1" customWidth="1" style="23" min="4" max="4"/>
    <col width="33.5703125" bestFit="1" customWidth="1" style="23" min="5" max="5"/>
    <col width="12.7109375" bestFit="1" customWidth="1" style="23" min="6" max="6"/>
    <col width="12" bestFit="1" customWidth="1" style="23" min="7" max="7"/>
    <col width="16" customWidth="1" style="23" min="8" max="8"/>
    <col width="15" bestFit="1" customWidth="1" style="13" min="9" max="9"/>
    <col width="17.85546875" bestFit="1" customWidth="1" style="10" min="10" max="10"/>
    <col width="10.140625" bestFit="1" customWidth="1" style="23" min="11" max="11"/>
  </cols>
  <sheetData>
    <row r="1">
      <c r="A1" t="inlineStr">
        <is>
          <t>i_factura</t>
        </is>
      </c>
      <c r="B1" t="inlineStr">
        <is>
          <t>i_tipoFactura</t>
        </is>
      </c>
      <c r="C1" t="inlineStr">
        <is>
          <t>i_fecha</t>
        </is>
      </c>
      <c r="D1" t="inlineStr">
        <is>
          <t>i_numeroFactura</t>
        </is>
      </c>
      <c r="E1" t="inlineStr">
        <is>
          <t>i_cliente</t>
        </is>
      </c>
      <c r="F1" t="inlineStr">
        <is>
          <t>i_jurisdiccion</t>
        </is>
      </c>
      <c r="G1" t="inlineStr">
        <is>
          <t>i_tipoVenta</t>
        </is>
      </c>
      <c r="H1" t="inlineStr">
        <is>
          <t>i_mesFacturacion</t>
        </is>
      </c>
      <c r="I1" s="13" t="inlineStr">
        <is>
          <t>i_montoControl</t>
        </is>
      </c>
      <c r="J1" s="10" t="inlineStr">
        <is>
          <t>o_montoFacturado</t>
        </is>
      </c>
      <c r="K1" t="inlineStr">
        <is>
          <t>o_asiento</t>
        </is>
      </c>
    </row>
    <row r="2">
      <c r="A2" t="inlineStr">
        <is>
          <t>SI</t>
        </is>
      </c>
      <c r="B2" t="inlineStr">
        <is>
          <t>Factura A</t>
        </is>
      </c>
      <c r="C2" s="1" t="inlineStr">
        <is>
          <t>30/04/2025</t>
        </is>
      </c>
      <c r="D2" s="1" t="inlineStr">
        <is>
          <t>0001-00000727</t>
        </is>
      </c>
      <c r="E2" t="inlineStr">
        <is>
          <t>CABALGANDO SAFI</t>
        </is>
      </c>
      <c r="F2" t="inlineStr">
        <is>
          <t>Mendoza</t>
        </is>
      </c>
      <c r="G2" t="inlineStr">
        <is>
          <t>Otras ventas</t>
        </is>
      </c>
      <c r="H2" s="2" t="inlineStr">
        <is>
          <t>04 / 2025</t>
        </is>
      </c>
      <c r="I2" s="17" t="inlineStr">
        <is>
          <t>25127439</t>
        </is>
      </c>
      <c r="J2" t="inlineStr">
        <is>
          <t>25127439</t>
        </is>
      </c>
      <c r="K2" t="inlineStr">
        <is>
          <t>5-VEN-94</t>
        </is>
      </c>
    </row>
    <row r="3">
      <c r="A3" t="inlineStr">
        <is>
          <t>SI</t>
        </is>
      </c>
      <c r="B3" t="inlineStr">
        <is>
          <t>Factura A</t>
        </is>
      </c>
      <c r="C3" s="1" t="inlineStr">
        <is>
          <t>30/04/2025</t>
        </is>
      </c>
      <c r="D3" s="1" t="inlineStr">
        <is>
          <t>0001-00000725</t>
        </is>
      </c>
      <c r="E3" t="inlineStr">
        <is>
          <t>FINCAS Y BODEGAS MONTECHEZ S.A.</t>
        </is>
      </c>
      <c r="F3" t="inlineStr">
        <is>
          <t>Mendoza</t>
        </is>
      </c>
      <c r="G3" t="inlineStr">
        <is>
          <t>Otras ventas</t>
        </is>
      </c>
      <c r="H3" s="2" t="inlineStr">
        <is>
          <t>04 / 2025</t>
        </is>
      </c>
      <c r="I3" s="14" t="inlineStr">
        <is>
          <t>1764780</t>
        </is>
      </c>
      <c r="J3" t="inlineStr">
        <is>
          <t>1764780</t>
        </is>
      </c>
      <c r="K3" t="inlineStr">
        <is>
          <t>5-VEN-95</t>
        </is>
      </c>
    </row>
    <row r="4">
      <c r="A4" t="inlineStr">
        <is>
          <t>SI</t>
        </is>
      </c>
      <c r="B4" t="inlineStr">
        <is>
          <t>Factura A</t>
        </is>
      </c>
      <c r="C4" s="1" t="inlineStr">
        <is>
          <t>30/04/2025</t>
        </is>
      </c>
      <c r="D4" s="1" t="inlineStr">
        <is>
          <t>0001-00000726</t>
        </is>
      </c>
      <c r="E4" t="inlineStr">
        <is>
          <t>FOI TERRUÑOS DE LOS ANDES</t>
        </is>
      </c>
      <c r="F4" t="inlineStr">
        <is>
          <t>Mendoza</t>
        </is>
      </c>
      <c r="G4" t="inlineStr">
        <is>
          <t>Otras ventas</t>
        </is>
      </c>
      <c r="H4" s="2" t="inlineStr">
        <is>
          <t>04 / 2025</t>
        </is>
      </c>
      <c r="I4" s="17" t="inlineStr">
        <is>
          <t>3037098</t>
        </is>
      </c>
      <c r="J4" s="15" t="inlineStr">
        <is>
          <t>3037098</t>
        </is>
      </c>
      <c r="K4" s="1" t="inlineStr">
        <is>
          <t>5-VEN-96</t>
        </is>
      </c>
    </row>
    <row r="5">
      <c r="A5" t="inlineStr">
        <is>
          <t>SI</t>
        </is>
      </c>
      <c r="B5" t="inlineStr">
        <is>
          <t>Factura A</t>
        </is>
      </c>
      <c r="C5" s="1" t="inlineStr">
        <is>
          <t>30/04/2025</t>
        </is>
      </c>
      <c r="D5" s="1" t="inlineStr">
        <is>
          <t>0001-00000723</t>
        </is>
      </c>
      <c r="E5" t="inlineStr">
        <is>
          <t>GRANAR S.A.C y F.</t>
        </is>
      </c>
      <c r="F5" t="inlineStr">
        <is>
          <t>Mendoza</t>
        </is>
      </c>
      <c r="G5" t="inlineStr">
        <is>
          <t>Otras ventas</t>
        </is>
      </c>
      <c r="H5" s="2" t="inlineStr">
        <is>
          <t>04 / 2025</t>
        </is>
      </c>
      <c r="I5" s="17" t="inlineStr">
        <is>
          <t>2285337</t>
        </is>
      </c>
      <c r="J5" s="15" t="inlineStr">
        <is>
          <t>2285337</t>
        </is>
      </c>
      <c r="K5" t="inlineStr">
        <is>
          <t>5-VEN-97</t>
        </is>
      </c>
    </row>
    <row r="6">
      <c r="A6" t="inlineStr">
        <is>
          <t>SI</t>
        </is>
      </c>
      <c r="B6" t="inlineStr">
        <is>
          <t>Factura A</t>
        </is>
      </c>
      <c r="C6" s="1" t="inlineStr">
        <is>
          <t>30/04/2025</t>
        </is>
      </c>
      <c r="D6" s="1" t="inlineStr">
        <is>
          <t>0001-00000724</t>
        </is>
      </c>
      <c r="E6" t="inlineStr">
        <is>
          <t>GRANAR S.A.C y F. (AB)</t>
        </is>
      </c>
      <c r="F6" t="inlineStr">
        <is>
          <t>Mendoza</t>
        </is>
      </c>
      <c r="G6" t="inlineStr">
        <is>
          <t>Otras ventas</t>
        </is>
      </c>
      <c r="H6" s="2" t="inlineStr">
        <is>
          <t>04 / 2025</t>
        </is>
      </c>
      <c r="I6" s="14" t="inlineStr">
        <is>
          <t>2995802</t>
        </is>
      </c>
      <c r="J6" t="inlineStr">
        <is>
          <t>2995802</t>
        </is>
      </c>
      <c r="K6" t="inlineStr">
        <is>
          <t>5-VEN-98</t>
        </is>
      </c>
    </row>
    <row r="7">
      <c r="A7" t="inlineStr">
        <is>
          <t>SI</t>
        </is>
      </c>
      <c r="B7" t="inlineStr">
        <is>
          <t>Factura A</t>
        </is>
      </c>
      <c r="C7" s="1" t="inlineStr">
        <is>
          <t>30/04/2025</t>
        </is>
      </c>
      <c r="D7" s="1" t="inlineStr">
        <is>
          <t>0001-00000722</t>
        </is>
      </c>
      <c r="E7" t="inlineStr">
        <is>
          <t>LLORENTE HNOS SA</t>
        </is>
      </c>
      <c r="F7" t="inlineStr">
        <is>
          <t>Mendoza</t>
        </is>
      </c>
      <c r="G7" t="inlineStr">
        <is>
          <t>Otras ventas</t>
        </is>
      </c>
      <c r="H7" s="2" t="inlineStr">
        <is>
          <t>04 / 2025</t>
        </is>
      </c>
      <c r="I7" s="13" t="inlineStr">
        <is>
          <t>2084328</t>
        </is>
      </c>
      <c r="J7" t="inlineStr">
        <is>
          <t>2084328</t>
        </is>
      </c>
      <c r="K7" t="inlineStr">
        <is>
          <t>5-VEN-99</t>
        </is>
      </c>
    </row>
    <row r="8">
      <c r="E8" s="3" t="n"/>
      <c r="I8" s="20" t="n"/>
    </row>
    <row r="10">
      <c r="D10" s="3" t="n"/>
      <c r="G10" s="2" t="n"/>
    </row>
    <row r="11">
      <c r="D11" s="3" t="n"/>
    </row>
    <row r="12">
      <c r="D12" s="3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Hoja6">
    <outlinePr summaryBelow="1" summaryRight="1"/>
    <pageSetUpPr/>
  </sheetPr>
  <dimension ref="A1:M35"/>
  <sheetViews>
    <sheetView zoomScaleNormal="100" workbookViewId="0">
      <selection activeCell="E2" sqref="E2"/>
    </sheetView>
  </sheetViews>
  <sheetFormatPr baseColWidth="10" defaultColWidth="11.5703125" defaultRowHeight="15"/>
  <cols>
    <col width="11" bestFit="1" customWidth="1" style="23" min="1" max="1"/>
    <col width="33.5703125" bestFit="1" customWidth="1" style="23" min="2" max="2"/>
    <col width="18.85546875" bestFit="1" customWidth="1" style="23" min="3" max="3"/>
    <col width="11.85546875" bestFit="1" customWidth="1" style="23" min="4" max="4"/>
    <col width="16.7109375" bestFit="1" customWidth="1" style="10" min="5" max="5"/>
    <col width="43.7109375" bestFit="1" customWidth="1" style="23" min="6" max="6"/>
    <col width="12.5703125" bestFit="1" customWidth="1" style="23" min="7" max="7"/>
    <col width="13" bestFit="1" customWidth="1" style="23" min="8" max="8"/>
    <col width="19" bestFit="1" customWidth="1" style="23" min="9" max="9"/>
    <col width="19.28515625" bestFit="1" customWidth="1" style="23" min="10" max="10"/>
    <col width="14.5703125" bestFit="1" customWidth="1" style="23" min="11" max="12"/>
    <col width="15.5703125" bestFit="1" customWidth="1" style="23" min="13" max="13"/>
  </cols>
  <sheetData>
    <row r="1">
      <c r="A1" t="inlineStr">
        <is>
          <t>i_factura</t>
        </is>
      </c>
      <c r="B1" s="4" t="inlineStr">
        <is>
          <t>t_cliente</t>
        </is>
      </c>
      <c r="C1" s="4" t="inlineStr">
        <is>
          <t>i_centroCosto</t>
        </is>
      </c>
      <c r="D1" s="4" t="inlineStr">
        <is>
          <t>i_alicuota</t>
        </is>
      </c>
      <c r="E1" s="9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25" t="inlineStr">
        <is>
          <t>formatoNumero</t>
        </is>
      </c>
      <c r="K1" t="inlineStr">
        <is>
          <t>IVA21</t>
        </is>
      </c>
      <c r="L1" t="inlineStr">
        <is>
          <t>IVA27</t>
        </is>
      </c>
      <c r="M1" t="inlineStr">
        <is>
          <t>Final</t>
        </is>
      </c>
    </row>
    <row r="2">
      <c r="A2" t="inlineStr">
        <is>
          <t>SI</t>
        </is>
      </c>
      <c r="B2" t="inlineStr">
        <is>
          <t>CABALGANDO SAFI</t>
        </is>
      </c>
      <c r="C2" t="inlineStr">
        <is>
          <t>CONSUMO DE AGUA</t>
        </is>
      </c>
      <c r="D2" t="inlineStr">
        <is>
          <t>IVA (27%)</t>
        </is>
      </c>
      <c r="E2" s="15" t="inlineStr">
        <is>
          <t>18959178,5680047</t>
        </is>
      </c>
      <c r="F2" t="inlineStr">
        <is>
          <t>RECUPERO ENERGIA ELECTRICA Periodo:</t>
        </is>
      </c>
      <c r="G2" t="inlineStr">
        <is>
          <t>Concepto</t>
        </is>
      </c>
      <c r="H2" t="n">
        <v>1</v>
      </c>
      <c r="I2" s="2" t="inlineStr">
        <is>
          <t>418001002</t>
        </is>
      </c>
      <c r="J2" s="25">
        <f>VALUE(E2)</f>
        <v/>
      </c>
      <c r="K2" s="25">
        <f>IF(D2="IVA (21%)",J2*0.21,0)</f>
        <v/>
      </c>
      <c r="L2" s="25">
        <f>IF(D2="IVA (27%)",J2*0.27,0)</f>
        <v/>
      </c>
      <c r="M2" s="26">
        <f>SUM(J2:L2)</f>
        <v/>
      </c>
    </row>
    <row r="3">
      <c r="A3" t="inlineStr">
        <is>
          <t>SI</t>
        </is>
      </c>
      <c r="B3" t="inlineStr">
        <is>
          <t>CABALGANDO SAFI</t>
        </is>
      </c>
      <c r="C3" t="inlineStr">
        <is>
          <t>GENERAL</t>
        </is>
      </c>
      <c r="D3" t="inlineStr">
        <is>
          <t>IVA (21%)</t>
        </is>
      </c>
      <c r="E3" s="15" t="inlineStr">
        <is>
          <t>187444,478131329</t>
        </is>
      </c>
      <c r="F3" s="5" t="inlineStr">
        <is>
          <t>RENDICIÓN GASTOS FIDEICOMISO Periodo:</t>
        </is>
      </c>
      <c r="G3" t="inlineStr">
        <is>
          <t>Concepto</t>
        </is>
      </c>
      <c r="H3" t="n">
        <v>1</v>
      </c>
      <c r="I3" s="2" t="inlineStr">
        <is>
          <t>418001002</t>
        </is>
      </c>
      <c r="J3" s="25">
        <f>VALUE(E3)</f>
        <v/>
      </c>
      <c r="K3" s="25">
        <f>IF(D3="IVA (21%)",J3*0.21,0)</f>
        <v/>
      </c>
      <c r="L3" s="25">
        <f>IF(D3="IVA (27%)",J3*0.27,0)</f>
        <v/>
      </c>
      <c r="M3" s="26">
        <f>SUM(J3:L3)</f>
        <v/>
      </c>
    </row>
    <row r="4">
      <c r="A4" t="inlineStr">
        <is>
          <t>SI</t>
        </is>
      </c>
      <c r="B4" t="inlineStr">
        <is>
          <t>CABALGANDO SAFI</t>
        </is>
      </c>
      <c r="C4" t="inlineStr">
        <is>
          <t>LA INDIA</t>
        </is>
      </c>
      <c r="D4" t="inlineStr">
        <is>
          <t>IVA (21%)</t>
        </is>
      </c>
      <c r="E4" s="15" t="inlineStr">
        <is>
          <t>679731,623613503</t>
        </is>
      </c>
      <c r="F4" s="5" t="inlineStr">
        <is>
          <t>RENDICIÓN GASTOS FIDEICOMISO Periodo:</t>
        </is>
      </c>
      <c r="G4" t="inlineStr">
        <is>
          <t>Concepto</t>
        </is>
      </c>
      <c r="H4" t="n">
        <v>1</v>
      </c>
      <c r="I4" s="2" t="inlineStr">
        <is>
          <t>418001002</t>
        </is>
      </c>
      <c r="J4" s="25">
        <f>VALUE(E4)</f>
        <v/>
      </c>
      <c r="K4" s="25">
        <f>IF(D4="IVA (21%)",J4*0.21,0)</f>
        <v/>
      </c>
      <c r="L4" s="25">
        <f>IF(D4="IVA (27%)",J4*0.27,0)</f>
        <v/>
      </c>
      <c r="M4" s="26">
        <f>SUM(J4:L4)</f>
        <v/>
      </c>
    </row>
    <row r="5">
      <c r="A5" t="inlineStr">
        <is>
          <t>NO</t>
        </is>
      </c>
      <c r="B5" t="inlineStr">
        <is>
          <t>CABALGANDO SAFI</t>
        </is>
      </c>
      <c r="C5" t="inlineStr">
        <is>
          <t>POZO 2</t>
        </is>
      </c>
      <c r="D5" t="inlineStr">
        <is>
          <t>IVA (21%)</t>
        </is>
      </c>
      <c r="E5" s="15" t="n"/>
      <c r="F5" s="5" t="inlineStr">
        <is>
          <t>RENDICIÓN GASTOS FIDEICOMISO Periodo:</t>
        </is>
      </c>
      <c r="G5" t="inlineStr">
        <is>
          <t>Concepto</t>
        </is>
      </c>
      <c r="H5" t="n">
        <v>1</v>
      </c>
      <c r="I5" s="2" t="inlineStr">
        <is>
          <t>418001002</t>
        </is>
      </c>
      <c r="J5" s="25">
        <f>VALUE(E5)</f>
        <v/>
      </c>
      <c r="K5" s="25">
        <f>IF(D5="IVA (21%)",J5*0.21,0)</f>
        <v/>
      </c>
      <c r="L5" s="25">
        <f>IF(D5="IVA (27%)",J5*0.27,0)</f>
        <v/>
      </c>
      <c r="M5" s="26">
        <f>SUM(J5:L5)</f>
        <v/>
      </c>
    </row>
    <row r="6">
      <c r="A6" t="inlineStr">
        <is>
          <t>SI</t>
        </is>
      </c>
      <c r="B6" t="inlineStr">
        <is>
          <t>FINCAS Y BODEGAS MONTECHEZ S.A.</t>
        </is>
      </c>
      <c r="C6" t="inlineStr">
        <is>
          <t>AGUA POZO 1</t>
        </is>
      </c>
      <c r="D6" t="inlineStr">
        <is>
          <t>IVA (27%)</t>
        </is>
      </c>
      <c r="E6" s="15" t="inlineStr">
        <is>
          <t>319384,900955877</t>
        </is>
      </c>
      <c r="F6" t="inlineStr">
        <is>
          <t>RECUPERO ENERGIA ELECTRICA Periodo:</t>
        </is>
      </c>
      <c r="G6" t="inlineStr">
        <is>
          <t>Concepto</t>
        </is>
      </c>
      <c r="H6" t="n">
        <v>1</v>
      </c>
      <c r="I6" s="2" t="inlineStr">
        <is>
          <t>418001002</t>
        </is>
      </c>
      <c r="J6" s="25">
        <f>VALUE(E6)</f>
        <v/>
      </c>
      <c r="K6" s="25">
        <f>IF(D6="IVA (21%)",J6*0.21,0)</f>
        <v/>
      </c>
      <c r="L6" s="25">
        <f>IF(D6="IVA (27%)",J6*0.27,0)</f>
        <v/>
      </c>
      <c r="M6" s="26">
        <f>SUM(J6:L6)</f>
        <v/>
      </c>
    </row>
    <row r="7">
      <c r="A7" t="inlineStr">
        <is>
          <t>SI</t>
        </is>
      </c>
      <c r="B7" t="inlineStr">
        <is>
          <t>FINCAS Y BODEGAS MONTECHEZ S.A.</t>
        </is>
      </c>
      <c r="C7" t="inlineStr">
        <is>
          <t>AGUA POZO 3</t>
        </is>
      </c>
      <c r="D7" t="inlineStr">
        <is>
          <t>IVA (27%)</t>
        </is>
      </c>
      <c r="E7" s="15" t="inlineStr">
        <is>
          <t>409240,048130251</t>
        </is>
      </c>
      <c r="F7" t="inlineStr">
        <is>
          <t>RECUPERO ENERGIA ELECTRICA Periodo:</t>
        </is>
      </c>
      <c r="G7" t="inlineStr">
        <is>
          <t>Concepto</t>
        </is>
      </c>
      <c r="H7" t="n">
        <v>1</v>
      </c>
      <c r="I7" s="2" t="inlineStr">
        <is>
          <t>418001002</t>
        </is>
      </c>
      <c r="J7" s="25">
        <f>VALUE(E7)</f>
        <v/>
      </c>
      <c r="K7" s="25">
        <f>IF(D7="IVA (21%)",J7*0.21,0)</f>
        <v/>
      </c>
      <c r="L7" s="25">
        <f>IF(D7="IVA (27%)",J7*0.27,0)</f>
        <v/>
      </c>
      <c r="M7" s="26">
        <f>SUM(J7:L7)</f>
        <v/>
      </c>
    </row>
    <row r="8">
      <c r="A8" t="inlineStr">
        <is>
          <t>NO</t>
        </is>
      </c>
      <c r="B8" t="inlineStr">
        <is>
          <t>FINCAS Y BODEGAS MONTECHEZ S.A.</t>
        </is>
      </c>
      <c r="C8" t="inlineStr">
        <is>
          <t>CONSUMO DE AGUA</t>
        </is>
      </c>
      <c r="D8" t="inlineStr">
        <is>
          <t>IVA (27%)</t>
        </is>
      </c>
      <c r="E8" s="15" t="n"/>
      <c r="F8" t="inlineStr">
        <is>
          <t>RECUPERO ENERGIA ELECTRICA Periodo:</t>
        </is>
      </c>
      <c r="G8" t="inlineStr">
        <is>
          <t>Concepto</t>
        </is>
      </c>
      <c r="H8" t="n">
        <v>1</v>
      </c>
      <c r="I8" s="2" t="inlineStr">
        <is>
          <t>418001002</t>
        </is>
      </c>
      <c r="J8" s="25">
        <f>VALUE(E8)</f>
        <v/>
      </c>
      <c r="K8" s="25">
        <f>IF(D8="IVA (21%)",J8*0.21,0)</f>
        <v/>
      </c>
      <c r="L8" s="25">
        <f>IF(D8="IVA (27%)",J8*0.27,0)</f>
        <v/>
      </c>
      <c r="M8" s="26">
        <f>SUM(J8:L8)</f>
        <v/>
      </c>
    </row>
    <row r="9">
      <c r="A9" t="inlineStr">
        <is>
          <t>SI</t>
        </is>
      </c>
      <c r="B9" t="inlineStr">
        <is>
          <t>FINCAS Y BODEGAS MONTECHEZ S.A.</t>
        </is>
      </c>
      <c r="C9" t="inlineStr">
        <is>
          <t>GENERAL</t>
        </is>
      </c>
      <c r="D9" t="inlineStr">
        <is>
          <t>IVA (21%)</t>
        </is>
      </c>
      <c r="E9" s="15" t="inlineStr">
        <is>
          <t>149955,582505064</t>
        </is>
      </c>
      <c r="F9" s="5" t="inlineStr">
        <is>
          <t>RENDICIÓN GASTOS FIDEICOMISO Periodo:</t>
        </is>
      </c>
      <c r="G9" t="inlineStr">
        <is>
          <t>Concepto</t>
        </is>
      </c>
      <c r="H9" t="n">
        <v>1</v>
      </c>
      <c r="I9" s="2" t="inlineStr">
        <is>
          <t>418001002</t>
        </is>
      </c>
      <c r="J9" s="25">
        <f>VALUE(E9)</f>
        <v/>
      </c>
      <c r="K9" s="25">
        <f>IF(D9="IVA (21%)",J9*0.21,0)</f>
        <v/>
      </c>
      <c r="L9" s="25">
        <f>IF(D9="IVA (27%)",J9*0.27,0)</f>
        <v/>
      </c>
      <c r="M9" s="26">
        <f>SUM(J9:L9)</f>
        <v/>
      </c>
    </row>
    <row r="10">
      <c r="A10" t="inlineStr">
        <is>
          <t>SI</t>
        </is>
      </c>
      <c r="B10" t="inlineStr">
        <is>
          <t>FINCAS Y BODEGAS MONTECHEZ S.A.</t>
        </is>
      </c>
      <c r="C10" t="inlineStr">
        <is>
          <t>LA INDIA</t>
        </is>
      </c>
      <c r="D10" t="inlineStr">
        <is>
          <t>IVA (21%)</t>
        </is>
      </c>
      <c r="E10" s="15" t="inlineStr">
        <is>
          <t>543785,298890802</t>
        </is>
      </c>
      <c r="F10" s="5" t="inlineStr">
        <is>
          <t>RENDICIÓN GASTOS FIDEICOMISO Periodo:</t>
        </is>
      </c>
      <c r="G10" t="inlineStr">
        <is>
          <t>Concepto</t>
        </is>
      </c>
      <c r="H10" t="n">
        <v>1</v>
      </c>
      <c r="I10" s="2" t="inlineStr">
        <is>
          <t>418001002</t>
        </is>
      </c>
      <c r="J10" s="25">
        <f>VALUE(E10)</f>
        <v/>
      </c>
      <c r="K10" s="25">
        <f>IF(D10="IVA (21%)",J10*0.21,0)</f>
        <v/>
      </c>
      <c r="L10" s="25">
        <f>IF(D10="IVA (27%)",J10*0.27,0)</f>
        <v/>
      </c>
      <c r="M10" s="26">
        <f>SUM(J10:L10)</f>
        <v/>
      </c>
    </row>
    <row r="11">
      <c r="A11" t="inlineStr">
        <is>
          <t>NO</t>
        </is>
      </c>
      <c r="B11" t="inlineStr">
        <is>
          <t>FINCAS Y BODEGAS MONTECHEZ S.A.</t>
        </is>
      </c>
      <c r="C11" t="inlineStr">
        <is>
          <t>POZO 3</t>
        </is>
      </c>
      <c r="D11" t="inlineStr">
        <is>
          <t>IVA (21%)</t>
        </is>
      </c>
      <c r="E11" s="15" t="n"/>
      <c r="F11" s="5" t="inlineStr">
        <is>
          <t>RENDICIÓN GASTOS FIDEICOMISO Periodo:</t>
        </is>
      </c>
      <c r="G11" t="inlineStr">
        <is>
          <t>Concepto</t>
        </is>
      </c>
      <c r="H11" t="n">
        <v>1</v>
      </c>
      <c r="I11" s="2" t="inlineStr">
        <is>
          <t>418001002</t>
        </is>
      </c>
      <c r="J11" s="25">
        <f>VALUE(E11)</f>
        <v/>
      </c>
      <c r="K11" s="25">
        <f>IF(D11="IVA (21%)",J11*0.21,0)</f>
        <v/>
      </c>
      <c r="L11" s="25">
        <f>IF(D11="IVA (27%)",J11*0.27,0)</f>
        <v/>
      </c>
      <c r="M11" s="26">
        <f>SUM(J11:L11)</f>
        <v/>
      </c>
    </row>
    <row r="12">
      <c r="A12" t="inlineStr">
        <is>
          <t>SI</t>
        </is>
      </c>
      <c r="B12" t="inlineStr">
        <is>
          <t>FOI TERRUÑOS DE LOS ANDES</t>
        </is>
      </c>
      <c r="C12" t="inlineStr">
        <is>
          <t>AGUA POZO 1</t>
        </is>
      </c>
      <c r="D12" t="inlineStr">
        <is>
          <t>IVA (27%)</t>
        </is>
      </c>
      <c r="E12" s="15" t="inlineStr">
        <is>
          <t>838874,416352994</t>
        </is>
      </c>
      <c r="F12" t="inlineStr">
        <is>
          <t>RECUPERO ENERGIA ELECTRICA Periodo:</t>
        </is>
      </c>
      <c r="G12" t="inlineStr">
        <is>
          <t>Concepto</t>
        </is>
      </c>
      <c r="H12" t="n">
        <v>1</v>
      </c>
      <c r="I12" s="2" t="inlineStr">
        <is>
          <t>418001002</t>
        </is>
      </c>
      <c r="J12" s="25">
        <f>VALUE(E12)</f>
        <v/>
      </c>
      <c r="K12" s="25">
        <f>IF(D12="IVA (21%)",J12*0.21,0)</f>
        <v/>
      </c>
      <c r="L12" s="25">
        <f>IF(D12="IVA (27%)",J12*0.27,0)</f>
        <v/>
      </c>
      <c r="M12" s="26">
        <f>SUM(J12:L12)</f>
        <v/>
      </c>
    </row>
    <row r="13">
      <c r="A13" t="inlineStr">
        <is>
          <t>SI</t>
        </is>
      </c>
      <c r="B13" t="inlineStr">
        <is>
          <t>FOI TERRUÑOS DE LOS ANDES</t>
        </is>
      </c>
      <c r="C13" t="inlineStr">
        <is>
          <t>AGUA POZO 3</t>
        </is>
      </c>
      <c r="D13" t="inlineStr">
        <is>
          <t>IVA (27%)</t>
        </is>
      </c>
      <c r="E13" s="15" t="inlineStr">
        <is>
          <t>1153726,93115259</t>
        </is>
      </c>
      <c r="F13" t="inlineStr">
        <is>
          <t>RECUPERO ENERGIA ELECTRICA Periodo:</t>
        </is>
      </c>
      <c r="G13" t="inlineStr">
        <is>
          <t>Concepto</t>
        </is>
      </c>
      <c r="H13" t="n">
        <v>1</v>
      </c>
      <c r="I13" s="2" t="inlineStr">
        <is>
          <t>418001002</t>
        </is>
      </c>
      <c r="J13" s="25">
        <f>VALUE(E13)</f>
        <v/>
      </c>
      <c r="K13" s="25">
        <f>IF(D13="IVA (21%)",J13*0.21,0)</f>
        <v/>
      </c>
      <c r="L13" s="25">
        <f>IF(D13="IVA (27%)",J13*0.27,0)</f>
        <v/>
      </c>
      <c r="M13" s="26">
        <f>SUM(J13:L13)</f>
        <v/>
      </c>
    </row>
    <row r="14">
      <c r="A14" t="inlineStr">
        <is>
          <t>NO</t>
        </is>
      </c>
      <c r="B14" t="inlineStr">
        <is>
          <t>FOI TERRUÑOS DE LOS ANDES</t>
        </is>
      </c>
      <c r="C14" t="inlineStr">
        <is>
          <t>CONSUMO DE AGUA</t>
        </is>
      </c>
      <c r="D14" t="inlineStr">
        <is>
          <t>IVA (27%)</t>
        </is>
      </c>
      <c r="E14" s="15" t="n"/>
      <c r="F14" t="inlineStr">
        <is>
          <t>RECUPERO ENERGIA ELECTRICA Periodo:</t>
        </is>
      </c>
      <c r="G14" t="inlineStr">
        <is>
          <t>Concepto</t>
        </is>
      </c>
      <c r="H14" t="n">
        <v>1</v>
      </c>
      <c r="I14" s="2" t="inlineStr">
        <is>
          <t>418001002</t>
        </is>
      </c>
      <c r="J14" s="25">
        <f>VALUE(E14)</f>
        <v/>
      </c>
      <c r="K14" s="25">
        <f>IF(D14="IVA (21%)",J14*0.21,0)</f>
        <v/>
      </c>
      <c r="L14" s="25">
        <f>IF(D14="IVA (27%)",J14*0.27,0)</f>
        <v/>
      </c>
      <c r="M14" s="26">
        <f>SUM(J14:L14)</f>
        <v/>
      </c>
    </row>
    <row r="15">
      <c r="A15" t="inlineStr">
        <is>
          <t>SI</t>
        </is>
      </c>
      <c r="B15" t="inlineStr">
        <is>
          <t>FOI TERRUÑOS DE LOS ANDES</t>
        </is>
      </c>
      <c r="C15" t="inlineStr">
        <is>
          <t>GENERAL</t>
        </is>
      </c>
      <c r="D15" t="inlineStr">
        <is>
          <t>IVA (21%)</t>
        </is>
      </c>
      <c r="E15" s="15" t="inlineStr">
        <is>
          <t>90480,4909522046</t>
        </is>
      </c>
      <c r="F15" s="5" t="inlineStr">
        <is>
          <t>RENDICIÓN GASTOS FIDEICOMISO Periodo:</t>
        </is>
      </c>
      <c r="G15" t="inlineStr">
        <is>
          <t>Concepto</t>
        </is>
      </c>
      <c r="H15" t="n">
        <v>1</v>
      </c>
      <c r="I15" s="2" t="inlineStr">
        <is>
          <t>418001002</t>
        </is>
      </c>
      <c r="J15" s="25">
        <f>VALUE(E15)</f>
        <v/>
      </c>
      <c r="K15" s="25">
        <f>IF(D15="IVA (21%)",J15*0.21,0)</f>
        <v/>
      </c>
      <c r="L15" s="25">
        <f>IF(D15="IVA (27%)",J15*0.27,0)</f>
        <v/>
      </c>
      <c r="M15" s="26">
        <f>SUM(J15:L15)</f>
        <v/>
      </c>
    </row>
    <row r="16">
      <c r="A16" t="inlineStr">
        <is>
          <t>SI</t>
        </is>
      </c>
      <c r="B16" t="inlineStr">
        <is>
          <t>FOI TERRUÑOS DE LOS ANDES</t>
        </is>
      </c>
      <c r="C16" t="inlineStr">
        <is>
          <t>LA INDIA</t>
        </is>
      </c>
      <c r="D16" t="inlineStr">
        <is>
          <t>IVA (21%)</t>
        </is>
      </c>
      <c r="E16" s="15" t="inlineStr">
        <is>
          <t>328110,231005036</t>
        </is>
      </c>
      <c r="F16" s="5" t="inlineStr">
        <is>
          <t>RENDICIÓN GASTOS FIDEICOMISO Periodo:</t>
        </is>
      </c>
      <c r="G16" t="inlineStr">
        <is>
          <t>Concepto</t>
        </is>
      </c>
      <c r="H16" t="n">
        <v>1</v>
      </c>
      <c r="I16" s="2" t="inlineStr">
        <is>
          <t>418001002</t>
        </is>
      </c>
      <c r="J16" s="25">
        <f>VALUE(E16)</f>
        <v/>
      </c>
      <c r="K16" s="25">
        <f>IF(D16="IVA (21%)",J16*0.21,0)</f>
        <v/>
      </c>
      <c r="L16" s="25">
        <f>IF(D16="IVA (27%)",J16*0.27,0)</f>
        <v/>
      </c>
      <c r="M16" s="26">
        <f>SUM(J16:L16)</f>
        <v/>
      </c>
    </row>
    <row r="17">
      <c r="A17" t="inlineStr">
        <is>
          <t>NO</t>
        </is>
      </c>
      <c r="B17" t="inlineStr">
        <is>
          <t>FOI TERRUÑOS DE LOS ANDES</t>
        </is>
      </c>
      <c r="C17" t="inlineStr">
        <is>
          <t>POZO 1</t>
        </is>
      </c>
      <c r="D17" t="inlineStr">
        <is>
          <t>IVA (21%)</t>
        </is>
      </c>
      <c r="E17" s="15" t="n"/>
      <c r="F17" s="5" t="inlineStr">
        <is>
          <t>RENDICIÓN GASTOS FIDEICOMISO Periodo:</t>
        </is>
      </c>
      <c r="G17" t="inlineStr">
        <is>
          <t>Concepto</t>
        </is>
      </c>
      <c r="H17" t="n">
        <v>1</v>
      </c>
      <c r="I17" s="2" t="inlineStr">
        <is>
          <t>418001002</t>
        </is>
      </c>
      <c r="J17" s="25">
        <f>VALUE(E17)</f>
        <v/>
      </c>
      <c r="K17" s="25">
        <f>IF(D17="IVA (21%)",J17*0.21,0)</f>
        <v/>
      </c>
      <c r="L17" s="25">
        <f>IF(D17="IVA (27%)",J17*0.27,0)</f>
        <v/>
      </c>
      <c r="M17" s="26">
        <f>SUM(J17:L17)</f>
        <v/>
      </c>
    </row>
    <row r="18">
      <c r="A18" t="inlineStr">
        <is>
          <t>SI</t>
        </is>
      </c>
      <c r="B18" t="inlineStr">
        <is>
          <t>GRANAR S.A.C y F.</t>
        </is>
      </c>
      <c r="C18" t="inlineStr">
        <is>
          <t>AGUA POZO 1</t>
        </is>
      </c>
      <c r="D18" t="inlineStr">
        <is>
          <t>IVA (27%)</t>
        </is>
      </c>
      <c r="E18" s="18" t="inlineStr">
        <is>
          <t>745057,64813477</t>
        </is>
      </c>
      <c r="F18" t="inlineStr">
        <is>
          <t>RECUPERO ENERGIA ELECTRICA Periodo:</t>
        </is>
      </c>
      <c r="G18" t="inlineStr">
        <is>
          <t>Concepto</t>
        </is>
      </c>
      <c r="H18" t="n">
        <v>1</v>
      </c>
      <c r="I18" s="2" t="inlineStr">
        <is>
          <t>418001002</t>
        </is>
      </c>
      <c r="J18" s="25">
        <f>VALUE(E18)</f>
        <v/>
      </c>
      <c r="K18" s="25">
        <f>IF(D18="IVA (21%)",J18*0.21,0)</f>
        <v/>
      </c>
      <c r="L18" s="25">
        <f>IF(D18="IVA (27%)",J18*0.27,0)</f>
        <v/>
      </c>
      <c r="M18" s="26">
        <f>SUM(J18:L18)</f>
        <v/>
      </c>
    </row>
    <row r="19">
      <c r="A19" t="inlineStr">
        <is>
          <t>SI</t>
        </is>
      </c>
      <c r="B19" t="inlineStr">
        <is>
          <t>GRANAR S.A.C y F.</t>
        </is>
      </c>
      <c r="C19" t="inlineStr">
        <is>
          <t>AGUA POZO 3</t>
        </is>
      </c>
      <c r="D19" t="inlineStr">
        <is>
          <t>IVA (27%)</t>
        </is>
      </c>
      <c r="E19" s="15" t="inlineStr">
        <is>
          <t>859343,943989594</t>
        </is>
      </c>
      <c r="F19" t="inlineStr">
        <is>
          <t>RECUPERO ENERGIA ELECTRICA Periodo:</t>
        </is>
      </c>
      <c r="G19" t="inlineStr">
        <is>
          <t>Concepto</t>
        </is>
      </c>
      <c r="H19" t="n">
        <v>1</v>
      </c>
      <c r="I19" s="2" t="inlineStr">
        <is>
          <t>418001002</t>
        </is>
      </c>
      <c r="J19" s="25">
        <f>VALUE(E19)</f>
        <v/>
      </c>
      <c r="K19" s="25">
        <f>IF(D19="IVA (21%)",J19*0.21,0)</f>
        <v/>
      </c>
      <c r="L19" s="25">
        <f>IF(D19="IVA (27%)",J19*0.27,0)</f>
        <v/>
      </c>
      <c r="M19" s="26">
        <f>SUM(J19:L19)</f>
        <v/>
      </c>
    </row>
    <row r="20">
      <c r="A20" t="inlineStr">
        <is>
          <t>NO</t>
        </is>
      </c>
      <c r="B20" t="inlineStr">
        <is>
          <t>GRANAR S.A.C y F.</t>
        </is>
      </c>
      <c r="C20" t="inlineStr">
        <is>
          <t>CONSUMO DE AGUA</t>
        </is>
      </c>
      <c r="D20" t="inlineStr">
        <is>
          <t>IVA (27%)</t>
        </is>
      </c>
      <c r="E20" s="15" t="n"/>
      <c r="F20" t="inlineStr">
        <is>
          <t>RECUPERO ENERGIA ELECTRICA Periodo:</t>
        </is>
      </c>
      <c r="G20" t="inlineStr">
        <is>
          <t>Concepto</t>
        </is>
      </c>
      <c r="H20" t="n">
        <v>1</v>
      </c>
      <c r="I20" s="2" t="inlineStr">
        <is>
          <t>418001002</t>
        </is>
      </c>
      <c r="J20" s="25">
        <f>VALUE(E20)</f>
        <v/>
      </c>
      <c r="K20" s="25">
        <f>IF(D20="IVA (21%)",J20*0.21,0)</f>
        <v/>
      </c>
      <c r="L20" s="25">
        <f>IF(D20="IVA (27%)",J20*0.27,0)</f>
        <v/>
      </c>
      <c r="M20" s="26">
        <f>SUM(J20:L20)</f>
        <v/>
      </c>
    </row>
    <row r="21">
      <c r="A21" t="inlineStr">
        <is>
          <t>SI</t>
        </is>
      </c>
      <c r="B21" t="inlineStr">
        <is>
          <t>GRANAR S.A.C y F.</t>
        </is>
      </c>
      <c r="C21" t="inlineStr">
        <is>
          <t>GENERAL</t>
        </is>
      </c>
      <c r="D21" t="inlineStr">
        <is>
          <t>IVA (21%)</t>
        </is>
      </c>
      <c r="E21" s="15" t="inlineStr">
        <is>
          <t>44257,7240032306</t>
        </is>
      </c>
      <c r="F21" s="5" t="inlineStr">
        <is>
          <t>RENDICIÓN GASTOS FIDEICOMISO Periodo:</t>
        </is>
      </c>
      <c r="G21" t="inlineStr">
        <is>
          <t>Concepto</t>
        </is>
      </c>
      <c r="H21" t="n">
        <v>1</v>
      </c>
      <c r="I21" s="2" t="inlineStr">
        <is>
          <t>418001002</t>
        </is>
      </c>
      <c r="J21" s="25">
        <f>VALUE(E21)</f>
        <v/>
      </c>
      <c r="K21" s="25">
        <f>IF(D21="IVA (21%)",J21*0.21,0)</f>
        <v/>
      </c>
      <c r="L21" s="25">
        <f>IF(D21="IVA (27%)",J21*0.27,0)</f>
        <v/>
      </c>
      <c r="M21" s="26">
        <f>SUM(J21:L21)</f>
        <v/>
      </c>
    </row>
    <row r="22">
      <c r="A22" t="inlineStr">
        <is>
          <t>SI</t>
        </is>
      </c>
      <c r="B22" t="inlineStr">
        <is>
          <t>GRANAR S.A.C y F.</t>
        </is>
      </c>
      <c r="C22" t="inlineStr">
        <is>
          <t>LA INDIA</t>
        </is>
      </c>
      <c r="D22" t="inlineStr">
        <is>
          <t>IVA (21%)</t>
        </is>
      </c>
      <c r="E22" s="15" t="inlineStr">
        <is>
          <t>160492,188908744</t>
        </is>
      </c>
      <c r="F22" s="5" t="inlineStr">
        <is>
          <t>RENDICIÓN GASTOS FIDEICOMISO Periodo:</t>
        </is>
      </c>
      <c r="G22" t="inlineStr">
        <is>
          <t>Concepto</t>
        </is>
      </c>
      <c r="H22" t="n">
        <v>1</v>
      </c>
      <c r="I22" s="2" t="inlineStr">
        <is>
          <t>418001002</t>
        </is>
      </c>
      <c r="J22" s="25">
        <f>VALUE(E22)</f>
        <v/>
      </c>
      <c r="K22" s="25">
        <f>IF(D22="IVA (21%)",J22*0.21,0)</f>
        <v/>
      </c>
      <c r="L22" s="25">
        <f>IF(D22="IVA (27%)",J22*0.27,0)</f>
        <v/>
      </c>
      <c r="M22" s="26">
        <f>SUM(J22:L22)</f>
        <v/>
      </c>
    </row>
    <row r="23">
      <c r="A23" t="inlineStr">
        <is>
          <t>NO</t>
        </is>
      </c>
      <c r="B23" t="inlineStr">
        <is>
          <t>GRANAR S.A.C y F.</t>
        </is>
      </c>
      <c r="C23" t="inlineStr">
        <is>
          <t>POZO 1</t>
        </is>
      </c>
      <c r="D23" t="inlineStr">
        <is>
          <t>IVA (21%)</t>
        </is>
      </c>
      <c r="E23" s="15" t="n"/>
      <c r="F23" s="5" t="inlineStr">
        <is>
          <t>RENDICIÓN GASTOS FIDEICOMISO Periodo:</t>
        </is>
      </c>
      <c r="G23" t="inlineStr">
        <is>
          <t>Concepto</t>
        </is>
      </c>
      <c r="H23" t="n">
        <v>1</v>
      </c>
      <c r="I23" s="2" t="inlineStr">
        <is>
          <t>418001002</t>
        </is>
      </c>
      <c r="J23" s="25">
        <f>VALUE(E23)</f>
        <v/>
      </c>
      <c r="K23" s="25">
        <f>IF(D23="IVA (21%)",J23*0.21,0)</f>
        <v/>
      </c>
      <c r="L23" s="25">
        <f>IF(D23="IVA (27%)",J23*0.27,0)</f>
        <v/>
      </c>
      <c r="M23" s="26">
        <f>SUM(J23:L23)</f>
        <v/>
      </c>
    </row>
    <row r="24">
      <c r="A24" t="inlineStr">
        <is>
          <t>SI</t>
        </is>
      </c>
      <c r="B24" t="inlineStr">
        <is>
          <t>GRANAR S.A.C y F. (AB)</t>
        </is>
      </c>
      <c r="C24" t="inlineStr">
        <is>
          <t>AGUA POZO 1</t>
        </is>
      </c>
      <c r="D24" t="inlineStr">
        <is>
          <t>IVA (27%)</t>
        </is>
      </c>
      <c r="E24" s="19" t="inlineStr">
        <is>
          <t>1377109,54533718</t>
        </is>
      </c>
      <c r="F24" t="inlineStr">
        <is>
          <t>RECUPERO ENERGIA ELECTRICA Periodo: (AB)</t>
        </is>
      </c>
      <c r="G24" t="inlineStr">
        <is>
          <t>Concepto</t>
        </is>
      </c>
      <c r="H24" t="n">
        <v>1</v>
      </c>
      <c r="I24" s="2" t="inlineStr">
        <is>
          <t>418001002</t>
        </is>
      </c>
      <c r="J24" s="25">
        <f>VALUE(E24)</f>
        <v/>
      </c>
      <c r="K24" s="25">
        <f>IF(D24="IVA (21%)",J24*0.21,0)</f>
        <v/>
      </c>
      <c r="L24" s="25">
        <f>IF(D24="IVA (27%)",J24*0.27,0)</f>
        <v/>
      </c>
      <c r="M24" s="26">
        <f>SUM(J24:L24)</f>
        <v/>
      </c>
    </row>
    <row r="25">
      <c r="A25" t="inlineStr">
        <is>
          <t>SI</t>
        </is>
      </c>
      <c r="B25" t="inlineStr">
        <is>
          <t>GRANAR S.A.C y F. (AB)</t>
        </is>
      </c>
      <c r="C25" t="inlineStr">
        <is>
          <t>AGUA POZO 3</t>
        </is>
      </c>
      <c r="D25" t="inlineStr">
        <is>
          <t>IVA (27%)</t>
        </is>
      </c>
      <c r="E25" s="19" t="inlineStr">
        <is>
          <t>638105,41358851</t>
        </is>
      </c>
      <c r="F25" t="inlineStr">
        <is>
          <t>RECUPERO ENERGIA ELECTRICA Periodo: (AB)</t>
        </is>
      </c>
      <c r="G25" t="inlineStr">
        <is>
          <t>Concepto</t>
        </is>
      </c>
      <c r="H25" t="n">
        <v>1</v>
      </c>
      <c r="I25" s="2" t="inlineStr">
        <is>
          <t>418001002</t>
        </is>
      </c>
      <c r="J25" s="25">
        <f>VALUE(E25)</f>
        <v/>
      </c>
      <c r="K25" s="25">
        <f>IF(D25="IVA (21%)",J25*0.21,0)</f>
        <v/>
      </c>
      <c r="L25" s="25">
        <f>IF(D25="IVA (27%)",J25*0.27,0)</f>
        <v/>
      </c>
      <c r="M25" s="26">
        <f>SUM(J25:L25)</f>
        <v/>
      </c>
    </row>
    <row r="26">
      <c r="A26" t="inlineStr">
        <is>
          <t>SI</t>
        </is>
      </c>
      <c r="B26" t="inlineStr">
        <is>
          <t>GRANAR S.A.C y F. (AB)</t>
        </is>
      </c>
      <c r="C26" t="inlineStr">
        <is>
          <t>CONSUMO DE AGUA</t>
        </is>
      </c>
      <c r="D26" t="inlineStr">
        <is>
          <t>IVA (27%)</t>
        </is>
      </c>
      <c r="E26" s="15" t="inlineStr">
        <is>
          <t>105002,699462632</t>
        </is>
      </c>
      <c r="F26" t="inlineStr">
        <is>
          <t>RECUPERO ENERGIA ELECTRICA Periodo: (AB)</t>
        </is>
      </c>
      <c r="G26" t="inlineStr">
        <is>
          <t>Concepto</t>
        </is>
      </c>
      <c r="H26" t="n">
        <v>1</v>
      </c>
      <c r="I26" s="2" t="inlineStr">
        <is>
          <t>418001002</t>
        </is>
      </c>
      <c r="J26" s="25">
        <f>VALUE(E26)</f>
        <v/>
      </c>
      <c r="K26" s="25">
        <f>IF(D26="IVA (21%)",J26*0.21,0)</f>
        <v/>
      </c>
      <c r="L26" s="25">
        <f>IF(D26="IVA (27%)",J26*0.27,0)</f>
        <v/>
      </c>
      <c r="M26" s="26">
        <f>SUM(J26:L26)</f>
        <v/>
      </c>
    </row>
    <row r="27">
      <c r="A27" t="inlineStr">
        <is>
          <t>SI</t>
        </is>
      </c>
      <c r="B27" t="inlineStr">
        <is>
          <t>GRANAR S.A.C y F. (AB)</t>
        </is>
      </c>
      <c r="C27" t="inlineStr">
        <is>
          <t>GENERAL</t>
        </is>
      </c>
      <c r="D27" t="inlineStr">
        <is>
          <t>IVA (21%)</t>
        </is>
      </c>
      <c r="E27" s="15" t="inlineStr">
        <is>
          <t>54150,6270157174</t>
        </is>
      </c>
      <c r="F27" s="5" t="inlineStr">
        <is>
          <t>RENDICIÓN GASTOS FIDEICOMISO Periodo: (AB)</t>
        </is>
      </c>
      <c r="G27" t="inlineStr">
        <is>
          <t>Concepto</t>
        </is>
      </c>
      <c r="H27" t="n">
        <v>1</v>
      </c>
      <c r="I27" s="2" t="inlineStr">
        <is>
          <t>418001002</t>
        </is>
      </c>
      <c r="J27" s="25">
        <f>VALUE(E27)</f>
        <v/>
      </c>
      <c r="K27" s="25">
        <f>IF(D27="IVA (21%)",J27*0.21,0)</f>
        <v/>
      </c>
      <c r="L27" s="25">
        <f>IF(D27="IVA (27%)",J27*0.27,0)</f>
        <v/>
      </c>
      <c r="M27" s="26">
        <f>SUM(J27:L27)</f>
        <v/>
      </c>
    </row>
    <row r="28">
      <c r="A28" t="inlineStr">
        <is>
          <t>SI</t>
        </is>
      </c>
      <c r="B28" t="inlineStr">
        <is>
          <t>GRANAR S.A.C y F. (AB)</t>
        </is>
      </c>
      <c r="C28" t="inlineStr">
        <is>
          <t>LA INDIA</t>
        </is>
      </c>
      <c r="D28" t="inlineStr">
        <is>
          <t>IVA (21%)</t>
        </is>
      </c>
      <c r="E28" s="15" t="inlineStr">
        <is>
          <t>196366,913488345</t>
        </is>
      </c>
      <c r="F28" s="5" t="inlineStr">
        <is>
          <t>RENDICIÓN GASTOS FIDEICOMISO Periodo: (AB)</t>
        </is>
      </c>
      <c r="G28" t="inlineStr">
        <is>
          <t>Concepto</t>
        </is>
      </c>
      <c r="H28" t="n">
        <v>1</v>
      </c>
      <c r="I28" s="2" t="inlineStr">
        <is>
          <t>418001002</t>
        </is>
      </c>
      <c r="J28" s="25">
        <f>VALUE(E28)</f>
        <v/>
      </c>
      <c r="K28" s="25">
        <f>IF(D28="IVA (21%)",J28*0.21,0)</f>
        <v/>
      </c>
      <c r="L28" s="25">
        <f>IF(D28="IVA (27%)",J28*0.27,0)</f>
        <v/>
      </c>
      <c r="M28" s="26">
        <f>SUM(J28:L28)</f>
        <v/>
      </c>
    </row>
    <row r="29">
      <c r="A29" t="inlineStr">
        <is>
          <t>NO</t>
        </is>
      </c>
      <c r="B29" t="inlineStr">
        <is>
          <t>GRANAR S.A.C y F. (AB)</t>
        </is>
      </c>
      <c r="C29" t="inlineStr">
        <is>
          <t>POZO 3</t>
        </is>
      </c>
      <c r="D29" t="inlineStr">
        <is>
          <t>IVA (21%)</t>
        </is>
      </c>
      <c r="E29" s="15" t="n"/>
      <c r="F29" s="5" t="inlineStr">
        <is>
          <t>RENDICIÓN GASTOS FIDEICOMISO Periodo: (AB)</t>
        </is>
      </c>
      <c r="G29" t="inlineStr">
        <is>
          <t>Concepto</t>
        </is>
      </c>
      <c r="H29" t="n">
        <v>1</v>
      </c>
      <c r="I29" s="2" t="inlineStr">
        <is>
          <t>418001002</t>
        </is>
      </c>
      <c r="J29" s="25">
        <f>VALUE(E29)</f>
        <v/>
      </c>
      <c r="K29" s="25">
        <f>IF(D29="IVA (21%)",J29*0.21,0)</f>
        <v/>
      </c>
      <c r="L29" s="25">
        <f>IF(D29="IVA (27%)",J29*0.27,0)</f>
        <v/>
      </c>
      <c r="M29" s="26">
        <f>SUM(J29:L29)</f>
        <v/>
      </c>
    </row>
    <row r="30">
      <c r="A30" t="inlineStr">
        <is>
          <t>SI</t>
        </is>
      </c>
      <c r="B30" t="inlineStr">
        <is>
          <t>LLORENTE HNOS SA</t>
        </is>
      </c>
      <c r="C30" t="inlineStr">
        <is>
          <t>AGUA POZO 1</t>
        </is>
      </c>
      <c r="D30" t="inlineStr">
        <is>
          <t>IVA (27%)</t>
        </is>
      </c>
      <c r="E30" s="15" t="inlineStr">
        <is>
          <t>652413,021751892</t>
        </is>
      </c>
      <c r="F30" t="inlineStr">
        <is>
          <t>RECUPERO ENERGIA ELECTRICA Periodo:</t>
        </is>
      </c>
      <c r="G30" t="inlineStr">
        <is>
          <t>Concepto</t>
        </is>
      </c>
      <c r="H30" t="n">
        <v>1</v>
      </c>
      <c r="I30" s="2" t="inlineStr">
        <is>
          <t>418001002</t>
        </is>
      </c>
      <c r="J30" s="25">
        <f>VALUE(E30)</f>
        <v/>
      </c>
      <c r="K30" s="25">
        <f>IF(D30="IVA (21%)",J30*0.21,0)</f>
        <v/>
      </c>
      <c r="L30" s="25">
        <f>IF(D30="IVA (27%)",J30*0.27,0)</f>
        <v/>
      </c>
      <c r="M30" s="26">
        <f>SUM(J30:L30)</f>
        <v/>
      </c>
    </row>
    <row r="31">
      <c r="A31" t="inlineStr">
        <is>
          <t>SI</t>
        </is>
      </c>
      <c r="B31" t="inlineStr">
        <is>
          <t>LLORENTE HNOS SA</t>
        </is>
      </c>
      <c r="C31" t="inlineStr">
        <is>
          <t>AGUA POZO 3</t>
        </is>
      </c>
      <c r="D31" t="inlineStr">
        <is>
          <t>IVA (27%)</t>
        </is>
      </c>
      <c r="E31" s="18" t="inlineStr">
        <is>
          <t>768120,023139056</t>
        </is>
      </c>
      <c r="F31" t="inlineStr">
        <is>
          <t>RECUPERO ENERGIA ELECTRICA Periodo:</t>
        </is>
      </c>
      <c r="G31" t="inlineStr">
        <is>
          <t>Concepto</t>
        </is>
      </c>
      <c r="H31" t="n">
        <v>1</v>
      </c>
      <c r="I31" s="2" t="inlineStr">
        <is>
          <t>418001002</t>
        </is>
      </c>
      <c r="J31" s="25">
        <f>VALUE(E31)</f>
        <v/>
      </c>
      <c r="K31" s="25">
        <f>IF(D31="IVA (21%)",J31*0.21,0)</f>
        <v/>
      </c>
      <c r="L31" s="25">
        <f>IF(D31="IVA (27%)",J31*0.27,0)</f>
        <v/>
      </c>
      <c r="M31" s="26">
        <f>SUM(J31:L31)</f>
        <v/>
      </c>
    </row>
    <row r="32">
      <c r="A32" t="inlineStr">
        <is>
          <t>NO</t>
        </is>
      </c>
      <c r="B32" t="inlineStr">
        <is>
          <t>LLORENTE HNOS SA</t>
        </is>
      </c>
      <c r="C32" t="inlineStr">
        <is>
          <t>CONSUMO DE AGUA</t>
        </is>
      </c>
      <c r="D32" t="inlineStr">
        <is>
          <t>IVA (27%)</t>
        </is>
      </c>
      <c r="E32" s="15" t="n"/>
      <c r="F32" t="inlineStr">
        <is>
          <t>RECUPERO ENERGIA ELECTRICA Periodo:</t>
        </is>
      </c>
      <c r="G32" t="inlineStr">
        <is>
          <t>Concepto</t>
        </is>
      </c>
      <c r="H32" t="n">
        <v>1</v>
      </c>
      <c r="I32" s="2" t="inlineStr">
        <is>
          <t>418001002</t>
        </is>
      </c>
      <c r="J32" s="25">
        <f>VALUE(E32)</f>
        <v/>
      </c>
      <c r="K32" s="25">
        <f>IF(D32="IVA (21%)",J32*0.21,0)</f>
        <v/>
      </c>
      <c r="L32" s="25">
        <f>IF(D32="IVA (27%)",J32*0.27,0)</f>
        <v/>
      </c>
      <c r="M32" s="26">
        <f>SUM(J32:L32)</f>
        <v/>
      </c>
    </row>
    <row r="33">
      <c r="A33" t="inlineStr">
        <is>
          <t>SI</t>
        </is>
      </c>
      <c r="B33" t="inlineStr">
        <is>
          <t>LLORENTE HNOS SA</t>
        </is>
      </c>
      <c r="C33" t="inlineStr">
        <is>
          <t>GENERAL</t>
        </is>
      </c>
      <c r="D33" t="inlineStr">
        <is>
          <t>IVA (21%)</t>
        </is>
      </c>
      <c r="E33" s="15" t="inlineStr">
        <is>
          <t>50064,3373924544</t>
        </is>
      </c>
      <c r="F33" t="inlineStr">
        <is>
          <t>RENDICIÓN GASTOS FIDEICOMISO Periodo:</t>
        </is>
      </c>
      <c r="G33" t="inlineStr">
        <is>
          <t>Concepto</t>
        </is>
      </c>
      <c r="H33" t="n">
        <v>1</v>
      </c>
      <c r="I33" s="2" t="inlineStr">
        <is>
          <t>418001002</t>
        </is>
      </c>
      <c r="J33" s="25">
        <f>VALUE(E33)</f>
        <v/>
      </c>
      <c r="K33" s="25">
        <f>IF(D33="IVA (21%)",J33*0.21,0)</f>
        <v/>
      </c>
      <c r="L33" s="25">
        <f>IF(D33="IVA (27%)",J33*0.27,0)</f>
        <v/>
      </c>
      <c r="M33" s="26">
        <f>SUM(J33:L33)</f>
        <v/>
      </c>
    </row>
    <row r="34">
      <c r="A34" t="inlineStr">
        <is>
          <t>SI</t>
        </is>
      </c>
      <c r="B34" t="inlineStr">
        <is>
          <t>LLORENTE HNOS SA</t>
        </is>
      </c>
      <c r="C34" t="inlineStr">
        <is>
          <t>LA INDIA</t>
        </is>
      </c>
      <c r="D34" t="inlineStr">
        <is>
          <t>IVA (21%)</t>
        </is>
      </c>
      <c r="E34" s="15" t="inlineStr">
        <is>
          <t>181548,764093571</t>
        </is>
      </c>
      <c r="F34" t="inlineStr">
        <is>
          <t>RENDICIÓN GASTOS FIDEICOMISO Periodo:</t>
        </is>
      </c>
      <c r="G34" t="inlineStr">
        <is>
          <t>Concepto</t>
        </is>
      </c>
      <c r="H34" t="n">
        <v>1</v>
      </c>
      <c r="I34" s="2" t="inlineStr">
        <is>
          <t>418001002</t>
        </is>
      </c>
      <c r="J34" s="25">
        <f>VALUE(E34)</f>
        <v/>
      </c>
      <c r="K34" s="25">
        <f>IF(D34="IVA (21%)",J34*0.21,0)</f>
        <v/>
      </c>
      <c r="L34" s="25">
        <f>IF(D34="IVA (27%)",J34*0.27,0)</f>
        <v/>
      </c>
      <c r="M34" s="26">
        <f>SUM(J34:L34)</f>
        <v/>
      </c>
    </row>
    <row r="35">
      <c r="A35" t="inlineStr">
        <is>
          <t>NO</t>
        </is>
      </c>
      <c r="B35" t="inlineStr">
        <is>
          <t>LLORENTE HNOS SA</t>
        </is>
      </c>
      <c r="C35" t="inlineStr">
        <is>
          <t>POZO 1</t>
        </is>
      </c>
      <c r="D35" t="inlineStr">
        <is>
          <t>IVA (21%)</t>
        </is>
      </c>
      <c r="E35" s="15" t="n"/>
      <c r="F35" t="inlineStr">
        <is>
          <t>RENDICIÓN GASTOS FIDEICOMISO Periodo:</t>
        </is>
      </c>
      <c r="G35" t="inlineStr">
        <is>
          <t>Concepto</t>
        </is>
      </c>
      <c r="H35" t="n">
        <v>1</v>
      </c>
      <c r="I35" s="2" t="inlineStr">
        <is>
          <t>418001002</t>
        </is>
      </c>
      <c r="J35" s="25">
        <f>VALUE(E35)</f>
        <v/>
      </c>
      <c r="K35" s="25">
        <f>IF(D35="IVA (21%)",J35*0.21,0)</f>
        <v/>
      </c>
      <c r="L35" s="25">
        <f>IF(D35="IVA (27%)",J35*0.27,0)</f>
        <v/>
      </c>
      <c r="M35" s="26">
        <f>SUM(J35:L35)</f>
        <v/>
      </c>
    </row>
  </sheetData>
  <autoFilter ref="A1:M34">
    <sortState ref="A2:M34">
      <sortCondition ref="B1:B1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D10"/>
  <sheetViews>
    <sheetView workbookViewId="0">
      <selection activeCell="D4" sqref="D4"/>
    </sheetView>
  </sheetViews>
  <sheetFormatPr baseColWidth="10" defaultRowHeight="15"/>
  <cols>
    <col width="33.5703125" bestFit="1" customWidth="1" style="23" min="1" max="1"/>
    <col width="15.5703125" bestFit="1" customWidth="1" style="23" min="2" max="2"/>
  </cols>
  <sheetData>
    <row r="3">
      <c r="A3" s="21" t="inlineStr">
        <is>
          <t>Etiquetas de fila</t>
        </is>
      </c>
      <c r="B3" t="inlineStr">
        <is>
          <t>Suma de Final</t>
        </is>
      </c>
    </row>
    <row r="4">
      <c r="A4" s="22" t="inlineStr">
        <is>
          <t>CABALGANDO SAFI</t>
        </is>
      </c>
      <c r="B4" s="27" t="n">
        <v>25127439.86447715</v>
      </c>
      <c r="D4" t="n">
        <v>25127439</v>
      </c>
    </row>
    <row r="5">
      <c r="A5" s="22" t="inlineStr">
        <is>
          <t>FINCAS Y BODEGAS MONTECHEZ S.A.</t>
        </is>
      </c>
      <c r="B5" s="27" t="n">
        <v>1764780.15182838</v>
      </c>
      <c r="D5" t="n">
        <v>1764780</v>
      </c>
    </row>
    <row r="6">
      <c r="A6" s="22" t="inlineStr">
        <is>
          <t>FOI TERRUÑOS DE LOS ANDES</t>
        </is>
      </c>
      <c r="B6" s="27" t="n">
        <v>3037098.484900349</v>
      </c>
      <c r="D6" t="n">
        <v>3037098</v>
      </c>
    </row>
    <row r="7">
      <c r="A7" s="22" t="inlineStr">
        <is>
          <t>GRANAR S.A.C y F.</t>
        </is>
      </c>
      <c r="B7" s="27" t="n">
        <v>2285337.416621432</v>
      </c>
      <c r="D7" t="n">
        <v>2285337</v>
      </c>
    </row>
    <row r="8">
      <c r="A8" s="22" t="inlineStr">
        <is>
          <t>GRANAR S.A.C y F. (AB)</t>
        </is>
      </c>
      <c r="B8" s="27" t="n">
        <v>2995802.650163086</v>
      </c>
      <c r="D8" t="n">
        <v>2995802</v>
      </c>
    </row>
    <row r="9">
      <c r="A9" s="22" t="inlineStr">
        <is>
          <t>LLORENTE HNOS SA</t>
        </is>
      </c>
      <c r="B9" s="27" t="n">
        <v>2084328.819809595</v>
      </c>
      <c r="D9" t="n">
        <v>2084328</v>
      </c>
    </row>
    <row r="10">
      <c r="A10" s="22" t="inlineStr">
        <is>
          <t>Total general</t>
        </is>
      </c>
      <c r="B10" t="n">
        <v>37294787.38779999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Hoja3">
    <outlinePr summaryBelow="1" summaryRight="1"/>
    <pageSetUpPr/>
  </sheetPr>
  <dimension ref="A1:K23"/>
  <sheetViews>
    <sheetView workbookViewId="0">
      <selection activeCell="C20" sqref="C20"/>
    </sheetView>
  </sheetViews>
  <sheetFormatPr baseColWidth="10" defaultRowHeight="15"/>
  <cols>
    <col width="33.5703125" bestFit="1" customWidth="1" style="23" min="1" max="1"/>
    <col width="13.42578125" bestFit="1" customWidth="1" style="23" min="2" max="2"/>
    <col width="18.7109375" bestFit="1" customWidth="1" style="23" min="3" max="3"/>
    <col width="9.7109375" bestFit="1" customWidth="1" style="23" min="4" max="4"/>
    <col width="14.5703125" bestFit="1" customWidth="1" style="7" min="5" max="5"/>
    <col width="16.140625" bestFit="1" customWidth="1" style="23" min="6" max="6"/>
    <col width="10.28515625" bestFit="1" customWidth="1" style="23" min="7" max="7"/>
    <col width="10.7109375" bestFit="1" customWidth="1" style="23" min="8" max="8"/>
    <col width="16.7109375" bestFit="1" customWidth="1" style="23" min="9" max="9"/>
    <col width="17" bestFit="1" customWidth="1" style="25" min="10" max="10"/>
  </cols>
  <sheetData>
    <row r="1">
      <c r="A1" s="4" t="inlineStr">
        <is>
          <t>t_cliente</t>
        </is>
      </c>
      <c r="B1" s="4" t="inlineStr">
        <is>
          <t>t_centroCosto</t>
        </is>
      </c>
      <c r="C1" s="4" t="inlineStr">
        <is>
          <t>i_finca</t>
        </is>
      </c>
      <c r="D1" s="4" t="inlineStr">
        <is>
          <t>t_alicuota</t>
        </is>
      </c>
      <c r="E1" s="6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25" t="inlineStr">
        <is>
          <t>formatoNumero</t>
        </is>
      </c>
    </row>
    <row r="2">
      <c r="I2" s="2" t="n"/>
    </row>
    <row r="3">
      <c r="I3" s="2" t="n"/>
    </row>
    <row r="4">
      <c r="I4" s="2" t="n"/>
      <c r="K4" s="11" t="n"/>
    </row>
    <row r="5">
      <c r="I5" s="2" t="n"/>
      <c r="K5" s="11" t="n"/>
    </row>
    <row r="6">
      <c r="I6" s="2" t="n"/>
      <c r="K6" s="11" t="n"/>
    </row>
    <row r="7">
      <c r="I7" s="2" t="n"/>
      <c r="K7" s="11" t="n"/>
    </row>
    <row r="8">
      <c r="E8" s="8" t="n"/>
      <c r="I8" s="2" t="n"/>
    </row>
    <row r="9">
      <c r="E9" s="8" t="n"/>
      <c r="I9" s="2" t="n"/>
    </row>
    <row r="10">
      <c r="E10" s="8" t="n"/>
      <c r="I10" s="2" t="n"/>
    </row>
    <row r="11">
      <c r="E11" s="8" t="n"/>
      <c r="I11" s="2" t="n"/>
    </row>
    <row r="12">
      <c r="I12" s="2" t="n"/>
    </row>
    <row r="13">
      <c r="I13" s="2" t="n"/>
    </row>
    <row r="14">
      <c r="I14" s="2" t="n"/>
    </row>
    <row r="15">
      <c r="I15" s="2" t="n"/>
    </row>
    <row r="16">
      <c r="I16" s="2" t="n"/>
    </row>
    <row r="17">
      <c r="I17" s="2" t="n"/>
    </row>
    <row r="18">
      <c r="I18" s="2" t="n"/>
    </row>
    <row r="19">
      <c r="I19" s="2" t="n"/>
    </row>
    <row r="20">
      <c r="I20" s="2" t="n"/>
    </row>
    <row r="21">
      <c r="I21" s="2" t="n"/>
    </row>
    <row r="22">
      <c r="I22" s="2" t="n"/>
    </row>
    <row r="23">
      <c r="I23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Hoja4">
    <outlinePr summaryBelow="1" summaryRight="1"/>
    <pageSetUpPr/>
  </sheetPr>
  <dimension ref="A1:L19"/>
  <sheetViews>
    <sheetView workbookViewId="0">
      <selection activeCell="D16" sqref="D16"/>
    </sheetView>
  </sheetViews>
  <sheetFormatPr baseColWidth="10" defaultRowHeight="15"/>
  <cols>
    <col width="33.5703125" bestFit="1" customWidth="1" style="23" min="1" max="1"/>
    <col width="13.42578125" bestFit="1" customWidth="1" style="23" min="2" max="2"/>
    <col width="15.5703125" bestFit="1" customWidth="1" style="23" min="3" max="3"/>
    <col width="9.7109375" bestFit="1" customWidth="1" style="23" min="4" max="4"/>
    <col width="14" bestFit="1" customWidth="1" style="7" min="5" max="5"/>
    <col width="14.7109375" bestFit="1" customWidth="1" style="23" min="6" max="6"/>
    <col width="10.28515625" bestFit="1" customWidth="1" style="23" min="7" max="7"/>
    <col width="10.7109375" bestFit="1" customWidth="1" style="23" min="8" max="8"/>
    <col width="16.7109375" bestFit="1" customWidth="1" style="23" min="9" max="9"/>
    <col width="17" bestFit="1" customWidth="1" style="3" min="10" max="10"/>
  </cols>
  <sheetData>
    <row r="1">
      <c r="A1" s="4" t="inlineStr">
        <is>
          <t>t_cliente</t>
        </is>
      </c>
      <c r="B1" s="4" t="inlineStr">
        <is>
          <t>t_centroCosto</t>
        </is>
      </c>
      <c r="C1" s="4" t="inlineStr">
        <is>
          <t>i_finca</t>
        </is>
      </c>
      <c r="D1" s="4" t="inlineStr">
        <is>
          <t>t_alicuota</t>
        </is>
      </c>
      <c r="E1" s="9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25" t="inlineStr">
        <is>
          <t>formatoNumero</t>
        </is>
      </c>
    </row>
    <row r="2">
      <c r="I2" s="2" t="n"/>
      <c r="J2" s="25" t="n"/>
    </row>
    <row r="3">
      <c r="I3" s="2" t="n"/>
      <c r="J3" s="25" t="n"/>
      <c r="L3" s="11" t="n"/>
    </row>
    <row r="4">
      <c r="I4" s="2" t="n"/>
      <c r="J4" s="25" t="n"/>
      <c r="L4" s="11" t="n"/>
    </row>
    <row r="5">
      <c r="I5" s="2" t="n"/>
      <c r="J5" s="25" t="n"/>
    </row>
    <row r="6">
      <c r="I6" s="2" t="n"/>
      <c r="J6" s="25" t="n"/>
    </row>
    <row r="7">
      <c r="I7" s="2" t="n"/>
      <c r="J7" s="25" t="n"/>
    </row>
    <row r="8">
      <c r="I8" s="2" t="n"/>
      <c r="J8" s="25" t="n"/>
    </row>
    <row r="9">
      <c r="I9" s="2" t="n"/>
      <c r="J9" s="25" t="n"/>
    </row>
    <row r="10">
      <c r="I10" s="2" t="n"/>
      <c r="J10" s="25" t="n"/>
    </row>
    <row r="11">
      <c r="I11" s="2" t="n"/>
      <c r="J11" s="25" t="n"/>
    </row>
    <row r="12">
      <c r="I12" s="2" t="n"/>
      <c r="J12" s="25" t="n"/>
    </row>
    <row r="19">
      <c r="C19" s="3" t="n"/>
    </row>
  </sheetData>
  <pageMargins left="0.7" right="0.7" top="0.75" bottom="0.75" header="0.3" footer="0.3"/>
  <pageSetup orientation="portrait" paperSize="9" verticalDpi="0"/>
</worksheet>
</file>

<file path=xl/worksheets/sheet7.xml><?xml version="1.0" encoding="utf-8"?>
<worksheet xmlns="http://schemas.openxmlformats.org/spreadsheetml/2006/main">
  <sheetPr codeName="Hoja5">
    <outlinePr summaryBelow="1" summaryRight="1"/>
    <pageSetUpPr/>
  </sheetPr>
  <dimension ref="A1:K12"/>
  <sheetViews>
    <sheetView workbookViewId="0">
      <selection activeCell="F16" sqref="F16"/>
    </sheetView>
  </sheetViews>
  <sheetFormatPr baseColWidth="10" defaultRowHeight="15"/>
  <cols>
    <col width="33.5703125" bestFit="1" customWidth="1" style="23" min="1" max="1"/>
    <col width="22.140625" bestFit="1" customWidth="1" style="23" min="2" max="2"/>
    <col width="9.7109375" bestFit="1" customWidth="1" style="23" min="3" max="3"/>
    <col width="14" bestFit="1" customWidth="1" style="10" min="4" max="4"/>
    <col width="20" bestFit="1" customWidth="1" style="23" min="5" max="5"/>
    <col width="10.28515625" bestFit="1" customWidth="1" style="23" min="6" max="6"/>
    <col width="10.7109375" bestFit="1" customWidth="1" style="23" min="7" max="7"/>
    <col width="16.7109375" bestFit="1" customWidth="1" style="23" min="8" max="8"/>
    <col width="17" bestFit="1" customWidth="1" style="23" min="9" max="9"/>
  </cols>
  <sheetData>
    <row r="1">
      <c r="A1" s="4" t="inlineStr">
        <is>
          <t>t_cliente</t>
        </is>
      </c>
      <c r="B1" s="4" t="inlineStr">
        <is>
          <t>i_centroCosto</t>
        </is>
      </c>
      <c r="C1" s="4" t="inlineStr">
        <is>
          <t>i_alicuota</t>
        </is>
      </c>
      <c r="D1" s="9" t="inlineStr">
        <is>
          <t>i_netoGravado</t>
        </is>
      </c>
      <c r="E1" t="inlineStr">
        <is>
          <t>i_descripcion</t>
        </is>
      </c>
      <c r="F1" t="inlineStr">
        <is>
          <t>i_tipoItem</t>
        </is>
      </c>
      <c r="G1" t="inlineStr">
        <is>
          <t>i_unidades</t>
        </is>
      </c>
      <c r="H1" t="inlineStr">
        <is>
          <t>i_cuentaContable</t>
        </is>
      </c>
      <c r="I1" s="25" t="inlineStr">
        <is>
          <t>formatoNumero</t>
        </is>
      </c>
    </row>
    <row r="2">
      <c r="D2" s="7" t="n"/>
      <c r="H2" s="2" t="n"/>
      <c r="I2" s="25" t="n"/>
      <c r="K2" s="7" t="n"/>
    </row>
    <row r="3">
      <c r="D3" s="7" t="n"/>
      <c r="H3" s="2" t="n"/>
      <c r="I3" s="25" t="n"/>
      <c r="K3" s="7" t="n"/>
    </row>
    <row r="4">
      <c r="D4" s="7" t="n"/>
      <c r="H4" s="2" t="n"/>
      <c r="I4" s="25" t="n"/>
      <c r="K4" s="7" t="n"/>
    </row>
    <row r="5">
      <c r="D5" s="7" t="n"/>
      <c r="H5" s="2" t="n"/>
      <c r="I5" s="25" t="n"/>
      <c r="K5" s="7" t="n"/>
    </row>
    <row r="6">
      <c r="D6" s="7" t="n"/>
      <c r="H6" s="2" t="n"/>
      <c r="I6" s="25" t="n"/>
      <c r="K6" s="7" t="n"/>
    </row>
    <row r="7">
      <c r="D7" s="7" t="n"/>
      <c r="H7" s="2" t="n"/>
      <c r="I7" s="25" t="n"/>
      <c r="K7" s="7" t="n"/>
    </row>
    <row r="8">
      <c r="D8" s="7" t="n"/>
      <c r="H8" s="2" t="n"/>
      <c r="I8" s="25" t="n"/>
      <c r="K8" s="7" t="n"/>
    </row>
    <row r="9">
      <c r="D9" s="7" t="n"/>
      <c r="H9" s="2" t="n"/>
      <c r="I9" s="25" t="n"/>
      <c r="K9" s="7" t="n"/>
    </row>
    <row r="10">
      <c r="D10" s="7" t="n"/>
      <c r="H10" s="2" t="n"/>
      <c r="I10" s="25" t="n"/>
      <c r="K10" s="7" t="n"/>
    </row>
    <row r="11">
      <c r="D11" s="7" t="n"/>
      <c r="H11" s="2" t="n"/>
      <c r="I11" s="25" t="n"/>
      <c r="K11" s="7" t="n"/>
    </row>
    <row r="12">
      <c r="D12" s="7" t="n"/>
      <c r="H12" s="2" t="n"/>
      <c r="I12" s="25" t="n"/>
      <c r="K12" s="7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Hoja7">
    <outlinePr summaryBelow="1" summaryRight="1"/>
    <pageSetUpPr/>
  </sheetPr>
  <dimension ref="A1:I21"/>
  <sheetViews>
    <sheetView workbookViewId="0">
      <selection activeCell="D6" sqref="D6"/>
    </sheetView>
  </sheetViews>
  <sheetFormatPr baseColWidth="10" defaultColWidth="11.5703125" defaultRowHeight="15"/>
  <cols>
    <col width="33.5703125" bestFit="1" customWidth="1" style="23" min="1" max="1"/>
    <col width="21.85546875" bestFit="1" customWidth="1" style="23" min="2" max="2"/>
    <col width="9.7109375" bestFit="1" customWidth="1" style="23" min="3" max="3"/>
    <col width="14" bestFit="1" customWidth="1" style="10" min="4" max="4"/>
    <col width="28.42578125" bestFit="1" customWidth="1" style="23" min="5" max="5"/>
    <col width="16.7109375" bestFit="1" customWidth="1" style="23" min="8" max="8"/>
    <col width="17" bestFit="1" customWidth="1" style="23" min="9" max="9"/>
  </cols>
  <sheetData>
    <row r="1">
      <c r="A1" s="4" t="inlineStr">
        <is>
          <t>t_cliente</t>
        </is>
      </c>
      <c r="B1" s="4" t="inlineStr">
        <is>
          <t>i_centroCosto</t>
        </is>
      </c>
      <c r="C1" s="4" t="inlineStr">
        <is>
          <t>i_alicuota</t>
        </is>
      </c>
      <c r="D1" s="9" t="inlineStr">
        <is>
          <t>i_netoGravado</t>
        </is>
      </c>
      <c r="E1" t="inlineStr">
        <is>
          <t>i_descripcion</t>
        </is>
      </c>
      <c r="F1" t="inlineStr">
        <is>
          <t>i_tipoItem</t>
        </is>
      </c>
      <c r="G1" t="inlineStr">
        <is>
          <t>i_unidades</t>
        </is>
      </c>
      <c r="H1" t="inlineStr">
        <is>
          <t>i_cuentaContable</t>
        </is>
      </c>
      <c r="I1" s="25" t="inlineStr">
        <is>
          <t>formatoNumero</t>
        </is>
      </c>
    </row>
    <row r="2">
      <c r="E2" s="5" t="n"/>
      <c r="H2" s="2" t="n"/>
      <c r="I2" s="25" t="n"/>
    </row>
    <row r="3">
      <c r="E3" s="5" t="n"/>
      <c r="H3" s="2" t="n"/>
      <c r="I3" s="25" t="n"/>
    </row>
    <row r="4">
      <c r="E4" s="5" t="n"/>
      <c r="H4" s="2" t="n"/>
      <c r="I4" s="25" t="n"/>
    </row>
    <row r="5">
      <c r="E5" s="5" t="n"/>
      <c r="H5" s="2" t="n"/>
      <c r="I5" s="25" t="n"/>
    </row>
    <row r="6">
      <c r="E6" s="5" t="n"/>
      <c r="H6" s="2" t="n"/>
      <c r="I6" s="25" t="n"/>
    </row>
    <row r="7">
      <c r="E7" s="5" t="n"/>
      <c r="H7" s="2" t="n"/>
      <c r="I7" s="25" t="n"/>
    </row>
    <row r="8">
      <c r="E8" s="5" t="n"/>
      <c r="H8" s="2" t="n"/>
      <c r="I8" s="25" t="n"/>
    </row>
    <row r="9">
      <c r="E9" s="5" t="n"/>
      <c r="H9" s="2" t="n"/>
      <c r="I9" s="25" t="n"/>
    </row>
    <row r="21">
      <c r="E21" s="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Hoja8">
    <outlinePr summaryBelow="1" summaryRight="1"/>
    <pageSetUpPr/>
  </sheetPr>
  <dimension ref="A1:C3"/>
  <sheetViews>
    <sheetView workbookViewId="0">
      <selection activeCell="L17" sqref="L17"/>
    </sheetView>
  </sheetViews>
  <sheetFormatPr baseColWidth="10" defaultRowHeight="15"/>
  <sheetData>
    <row r="1">
      <c r="A1" t="inlineStr">
        <is>
          <t>t_alicuota</t>
        </is>
      </c>
      <c r="B1" t="inlineStr">
        <is>
          <t>i_iva</t>
        </is>
      </c>
      <c r="C1" s="3" t="n"/>
    </row>
    <row r="2">
      <c r="A2" t="n">
        <v>0.105</v>
      </c>
      <c r="B2" t="inlineStr">
        <is>
          <t>IVA (10.5%)</t>
        </is>
      </c>
      <c r="C2" s="3" t="n"/>
    </row>
    <row r="3">
      <c r="A3" t="n">
        <v>0.21</v>
      </c>
      <c r="B3" t="inlineStr">
        <is>
          <t>IVA (21%)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Hoja9">
    <outlinePr summaryBelow="1" summaryRight="1"/>
    <pageSetUpPr/>
  </sheetPr>
  <dimension ref="A1:B3"/>
  <sheetViews>
    <sheetView workbookViewId="0">
      <selection activeCell="G16" sqref="G16"/>
    </sheetView>
  </sheetViews>
  <sheetFormatPr baseColWidth="10" defaultRowHeight="15"/>
  <cols>
    <col width="13.42578125" bestFit="1" customWidth="1" style="23" min="1" max="1"/>
    <col width="21.85546875" bestFit="1" customWidth="1" style="23" min="2" max="2"/>
  </cols>
  <sheetData>
    <row r="1">
      <c r="A1" t="inlineStr">
        <is>
          <t>t_centroCosto</t>
        </is>
      </c>
      <c r="B1" t="inlineStr">
        <is>
          <t>i_centroCosto</t>
        </is>
      </c>
    </row>
    <row r="2">
      <c r="A2" t="inlineStr">
        <is>
          <t>altamira</t>
        </is>
      </c>
      <c r="B2" t="inlineStr">
        <is>
          <t>2-MODULO ALTAMIRA</t>
        </is>
      </c>
    </row>
    <row r="3">
      <c r="A3" t="inlineStr">
        <is>
          <t>ugarteche</t>
        </is>
      </c>
      <c r="B3" t="inlineStr">
        <is>
          <t>1-MODULO UGARTECHE</t>
        </is>
      </c>
    </row>
  </sheetData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 codeName="Hoja10">
    <outlinePr summaryBelow="1" summaryRight="1"/>
    <pageSetUpPr/>
  </sheetPr>
  <dimension ref="A1:B13"/>
  <sheetViews>
    <sheetView workbookViewId="0">
      <selection activeCell="A2" sqref="A2:A13"/>
    </sheetView>
  </sheetViews>
  <sheetFormatPr baseColWidth="10" defaultRowHeight="15"/>
  <cols>
    <col width="33.5703125" bestFit="1" customWidth="1" style="23" min="1" max="1"/>
    <col width="25.42578125" bestFit="1" customWidth="1" style="23" min="2" max="3"/>
  </cols>
  <sheetData>
    <row r="1">
      <c r="A1" t="inlineStr">
        <is>
          <t>i_cliente</t>
        </is>
      </c>
      <c r="B1" t="inlineStr">
        <is>
          <t>t_cliente</t>
        </is>
      </c>
    </row>
    <row r="2">
      <c r="A2" t="inlineStr">
        <is>
          <t>FOA AGUAS DE ALTAMIRA</t>
        </is>
      </c>
      <c r="B2" t="inlineStr">
        <is>
          <t>FOA Aguas de Altamira</t>
        </is>
      </c>
    </row>
    <row r="3">
      <c r="A3" t="inlineStr">
        <is>
          <t>FOI TERRUÑOS DE LOS ANDES</t>
        </is>
      </c>
      <c r="B3" t="inlineStr">
        <is>
          <t>FOI TerruÃ±os de los Andes</t>
        </is>
      </c>
    </row>
    <row r="4">
      <c r="A4" t="inlineStr">
        <is>
          <t>GRANAR S.A.C y F.</t>
        </is>
      </c>
      <c r="B4" t="inlineStr">
        <is>
          <t>Granar SACyF</t>
        </is>
      </c>
    </row>
    <row r="5">
      <c r="A5" t="inlineStr">
        <is>
          <t>LLORENTE HNOS SA</t>
        </is>
      </c>
      <c r="B5" t="inlineStr">
        <is>
          <t>Llorente Hnos SA</t>
        </is>
      </c>
    </row>
    <row r="6">
      <c r="A6" t="inlineStr">
        <is>
          <t>LOS NATIVOS S.A.</t>
        </is>
      </c>
      <c r="B6" t="inlineStr">
        <is>
          <t>Los Nativos SA</t>
        </is>
      </c>
    </row>
    <row r="7">
      <c r="A7" t="inlineStr">
        <is>
          <t>FINCAS Y BODEGAS MONTECHEZ S.A.</t>
        </is>
      </c>
      <c r="B7" t="inlineStr">
        <is>
          <t>Montechez</t>
        </is>
      </c>
    </row>
    <row r="8">
      <c r="A8" t="inlineStr">
        <is>
          <t>FINCA LAS MAGDALENAS S. A. S.</t>
        </is>
      </c>
      <c r="B8" t="inlineStr">
        <is>
          <t>Sona Aldo Guillermo</t>
        </is>
      </c>
    </row>
    <row r="9">
      <c r="A9" t="inlineStr">
        <is>
          <t>TELLERIA JUAN GABRIEL</t>
        </is>
      </c>
      <c r="B9" t="inlineStr">
        <is>
          <t>Telleria Juan Gabriel</t>
        </is>
      </c>
    </row>
    <row r="10">
      <c r="A10" t="inlineStr">
        <is>
          <t>AGRISUS SA</t>
        </is>
      </c>
      <c r="B10" t="inlineStr">
        <is>
          <t>Agrisus</t>
        </is>
      </c>
    </row>
    <row r="11">
      <c r="A11" t="inlineStr">
        <is>
          <t xml:space="preserve">A &amp; T Y ASOCIADOS SA </t>
        </is>
      </c>
      <c r="B11" t="inlineStr">
        <is>
          <t>AyT</t>
        </is>
      </c>
    </row>
    <row r="12">
      <c r="A12" t="inlineStr">
        <is>
          <t>CABALGANDO SAFI</t>
        </is>
      </c>
      <c r="B12" t="inlineStr">
        <is>
          <t>Cabalgando</t>
        </is>
      </c>
    </row>
    <row r="13">
      <c r="A13" t="inlineStr">
        <is>
          <t>GRANAR S.A.C y F.</t>
        </is>
      </c>
      <c r="B13" t="inlineStr">
        <is>
          <t>Granar SACyF (AB)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Hoja11">
    <outlinePr summaryBelow="1" summaryRight="1"/>
    <pageSetUpPr/>
  </sheetPr>
  <dimension ref="A1:D10"/>
  <sheetViews>
    <sheetView workbookViewId="0">
      <selection activeCell="A2" sqref="A2"/>
    </sheetView>
  </sheetViews>
  <sheetFormatPr baseColWidth="10" defaultRowHeight="15"/>
  <cols>
    <col width="37.85546875" bestFit="1" customWidth="1" style="23" min="1" max="1"/>
    <col width="31" bestFit="1" customWidth="1" style="23" min="3" max="3"/>
  </cols>
  <sheetData>
    <row r="1">
      <c r="A1" t="inlineStr">
        <is>
          <t>TipoFactura</t>
        </is>
      </c>
      <c r="B1" t="inlineStr">
        <is>
          <t>IVA</t>
        </is>
      </c>
      <c r="C1" t="inlineStr">
        <is>
          <t>CentroCostos</t>
        </is>
      </c>
      <c r="D1" t="inlineStr">
        <is>
          <t>TipoItem</t>
        </is>
      </c>
    </row>
    <row r="2">
      <c r="A2" t="inlineStr">
        <is>
          <t>Factura A</t>
        </is>
      </c>
      <c r="B2" t="inlineStr">
        <is>
          <t>IVA (10.5%)</t>
        </is>
      </c>
      <c r="C2" t="inlineStr">
        <is>
          <t>ADM-ADMINISTRACION</t>
        </is>
      </c>
      <c r="D2" t="inlineStr">
        <is>
          <t>Concepto</t>
        </is>
      </c>
    </row>
    <row r="3">
      <c r="A3" t="inlineStr">
        <is>
          <t>Factura A Webservice</t>
        </is>
      </c>
      <c r="B3" t="inlineStr">
        <is>
          <t>IVA (21%)</t>
        </is>
      </c>
      <c r="C3" t="inlineStr">
        <is>
          <t>CONSUMO DE AGUA</t>
        </is>
      </c>
      <c r="D3" t="inlineStr">
        <is>
          <t>Descuento</t>
        </is>
      </c>
    </row>
    <row r="4">
      <c r="A4" t="inlineStr">
        <is>
          <t>Factura Crédito Electrónica A</t>
        </is>
      </c>
      <c r="B4" t="inlineStr">
        <is>
          <t>IVA (27%)</t>
        </is>
      </c>
      <c r="C4" t="inlineStr">
        <is>
          <t>AGUA POZO 1</t>
        </is>
      </c>
    </row>
    <row r="5">
      <c r="A5" t="inlineStr">
        <is>
          <t>Factura Crédito Electrónica A Webservice</t>
        </is>
      </c>
      <c r="C5" t="inlineStr">
        <is>
          <t>AGUA POZO 3</t>
        </is>
      </c>
    </row>
    <row r="6">
      <c r="A6" t="inlineStr">
        <is>
          <t>Nota de Crédito A</t>
        </is>
      </c>
      <c r="C6" t="inlineStr">
        <is>
          <t>POZO 1</t>
        </is>
      </c>
    </row>
    <row r="7">
      <c r="A7" t="inlineStr">
        <is>
          <t>Nota de Crédito A Webservice</t>
        </is>
      </c>
      <c r="C7" t="inlineStr">
        <is>
          <t>POZO 2</t>
        </is>
      </c>
    </row>
    <row r="8">
      <c r="C8" t="inlineStr">
        <is>
          <t>POZO 3</t>
        </is>
      </c>
    </row>
    <row r="9">
      <c r="C9" t="inlineStr">
        <is>
          <t>LA INDIA</t>
        </is>
      </c>
    </row>
    <row r="10">
      <c r="C10" t="inlineStr">
        <is>
          <t>GENERAL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Alanis, Pablo</dc:creator>
  <dcterms:created xsi:type="dcterms:W3CDTF">2024-02-15T21:25:02Z</dcterms:created>
  <dcterms:modified xsi:type="dcterms:W3CDTF">2025-05-14T02:16:56Z</dcterms:modified>
  <cp:lastModifiedBy>Pablo Alanis</cp:lastModifiedBy>
</cp:coreProperties>
</file>