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0610" yWindow="-120" windowWidth="20730" windowHeight="11040" tabRatio="903" firstSheet="0" activeTab="1" autoFilterDateGrouping="1"/>
  </bookViews>
  <sheets>
    <sheet name="Sheet2" sheetId="1" state="visible" r:id="rId1"/>
    <sheet name="general" sheetId="2" state="visible" r:id="rId2"/>
    <sheet name="Controles" sheetId="3" state="visible" r:id="rId3"/>
    <sheet name="conceptoFijo" sheetId="4" state="visible" r:id="rId4"/>
    <sheet name="conceptoVariable" sheetId="5" state="visible" r:id="rId5"/>
    <sheet name="conceptoMovilidad" sheetId="6" state="visible" r:id="rId6"/>
    <sheet name="conceptoRecuperos" sheetId="7" state="visible" r:id="rId7"/>
    <sheet name="conceptoAnticipos" sheetId="8" state="visible" r:id="rId8"/>
    <sheet name="Traductor_iva" sheetId="9" state="hidden" r:id="rId9"/>
    <sheet name="Traductor_centroCosto" sheetId="10" state="hidden" r:id="rId10"/>
    <sheet name="Traductor_cliente" sheetId="11" state="hidden" r:id="rId11"/>
    <sheet name="Padrones" sheetId="12" state="visible" r:id="rId12"/>
  </sheets>
  <definedNames>
    <definedName name="_xlnm._FilterDatabase" localSheetId="1" hidden="1">'general'!$B$1:$K$2</definedName>
    <definedName name="_xlnm._FilterDatabase" localSheetId="2" hidden="1">'Controles'!$A$1:$G$13</definedName>
    <definedName name="_xlnm._FilterDatabase" localSheetId="3" hidden="1">'conceptoFijo'!$A$1:$J$3</definedName>
    <definedName name="_xlnm._FilterDatabase" localSheetId="6" hidden="1">'conceptoRecuperos'!$A$1:$J$2</definedName>
    <definedName name="_xlnm._FilterDatabase" localSheetId="7" hidden="1">'conceptoAnticipos'!$B$1:$I$1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3">
    <xf numFmtId="0" fontId="2" fillId="0" borderId="0"/>
    <xf numFmtId="44" fontId="2" fillId="0" borderId="0"/>
    <xf numFmtId="165" fontId="3" fillId="0" borderId="0"/>
  </cellStyleXfs>
  <cellXfs count="20">
    <xf numFmtId="0" fontId="0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0" fontId="1" fillId="0" borderId="0" pivotButton="0" quotePrefix="0" xfId="0"/>
    <xf numFmtId="0" fontId="0" fillId="2" borderId="0" pivotButton="0" quotePrefix="0" xfId="0"/>
    <xf numFmtId="2" fontId="0" fillId="0" borderId="0" pivotButton="0" quotePrefix="0" xfId="0"/>
    <xf numFmtId="0" fontId="0" fillId="2" borderId="0" pivotButton="0" quotePrefix="0" xfId="1"/>
    <xf numFmtId="49" fontId="0" fillId="0" borderId="0" pivotButton="0" quotePrefix="0" xfId="1"/>
    <xf numFmtId="49" fontId="0" fillId="2" borderId="0" pivotButton="0" quotePrefix="0" xfId="0"/>
    <xf numFmtId="49" fontId="0" fillId="0" borderId="0" pivotButton="0" quotePrefix="0" xfId="0"/>
    <xf numFmtId="164" fontId="2" fillId="0" borderId="0" pivotButton="0" quotePrefix="0" xfId="1"/>
    <xf numFmtId="0" fontId="0" fillId="3" borderId="0" pivotButton="0" quotePrefix="0" xfId="0"/>
    <xf numFmtId="164" fontId="2" fillId="3" borderId="0" pivotButton="0" quotePrefix="1" xfId="1"/>
    <xf numFmtId="49" fontId="0" fillId="4" borderId="0" pivotButton="0" quotePrefix="0" xfId="0"/>
    <xf numFmtId="164" fontId="0" fillId="0" borderId="0" pivotButton="0" quotePrefix="0" xfId="0"/>
    <xf numFmtId="164" fontId="0" fillId="3" borderId="0" pivotButton="0" quotePrefix="0" xfId="0"/>
    <xf numFmtId="164" fontId="2" fillId="3" borderId="0" pivotButton="0" quotePrefix="1" xfId="1"/>
    <xf numFmtId="164" fontId="2" fillId="0" borderId="0" pivotButton="0" quotePrefix="0" xfId="1"/>
    <xf numFmtId="164" fontId="0" fillId="3" borderId="0" pivotButton="0" quotePrefix="0" xfId="0"/>
    <xf numFmtId="164" fontId="0" fillId="0" borderId="0" pivotButton="0" quotePrefix="0" xfId="0"/>
  </cellXfs>
  <cellStyles count="3">
    <cellStyle name="Normal" xfId="0" builtinId="0"/>
    <cellStyle name="Moneda" xfId="1" builtinId="4"/>
    <cellStyle name="Moneda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C7"/>
  <sheetViews>
    <sheetView workbookViewId="0">
      <selection activeCell="C34" sqref="C34"/>
    </sheetView>
  </sheetViews>
  <sheetFormatPr baseColWidth="10" defaultColWidth="9.140625" defaultRowHeight="15"/>
  <cols>
    <col width="31.140625" bestFit="1" customWidth="1" min="3" max="3"/>
  </cols>
  <sheetData>
    <row r="1">
      <c r="B1" t="inlineStr">
        <is>
          <t>usuario</t>
        </is>
      </c>
      <c r="C1" t="inlineStr">
        <is>
          <t>empresa</t>
        </is>
      </c>
    </row>
    <row r="2">
      <c r="A2" t="inlineStr">
        <is>
          <t>A</t>
        </is>
      </c>
      <c r="B2" s="2" t="inlineStr">
        <is>
          <t>pablo</t>
        </is>
      </c>
      <c r="C2" t="inlineStr">
        <is>
          <t>Servicios Agropecuarios Cuyo S.A.</t>
        </is>
      </c>
    </row>
    <row r="3">
      <c r="B3" s="2" t="n"/>
    </row>
    <row r="7">
      <c r="B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K10"/>
  <sheetViews>
    <sheetView tabSelected="1" workbookViewId="0">
      <selection activeCell="C10" sqref="C10"/>
    </sheetView>
  </sheetViews>
  <sheetFormatPr baseColWidth="10" defaultColWidth="9.140625" defaultRowHeight="15"/>
  <cols>
    <col width="20.140625" bestFit="1" customWidth="1" min="2" max="2"/>
    <col width="10.7109375" bestFit="1" customWidth="1" min="3" max="3"/>
    <col width="18.42578125" bestFit="1" customWidth="1" min="4" max="4"/>
    <col width="33.5703125" bestFit="1" customWidth="1" min="5" max="5"/>
    <col width="15" bestFit="1" customWidth="1" min="6" max="6"/>
    <col width="13.7109375" bestFit="1" customWidth="1" min="7" max="7"/>
    <col width="18.85546875" bestFit="1" customWidth="1" min="8" max="8"/>
    <col width="17.28515625" bestFit="1" customWidth="1" style="13" min="9" max="9"/>
    <col width="10.7109375" customWidth="1" style="9" min="10" max="10"/>
    <col width="13.140625" bestFit="1" customWidth="1" min="11" max="11"/>
    <col width="12.5703125" bestFit="1" customWidth="1" min="12" max="12"/>
  </cols>
  <sheetData>
    <row r="1">
      <c r="A1" t="inlineStr">
        <is>
          <t>i_factura</t>
        </is>
      </c>
      <c r="B1" t="inlineStr">
        <is>
          <t>i_tipoFactura</t>
        </is>
      </c>
      <c r="C1" t="inlineStr">
        <is>
          <t>i_fecha</t>
        </is>
      </c>
      <c r="D1" t="inlineStr">
        <is>
          <t>i_numeroFactura</t>
        </is>
      </c>
      <c r="E1" t="inlineStr">
        <is>
          <t>i_cliente</t>
        </is>
      </c>
      <c r="F1" t="inlineStr">
        <is>
          <t>i_jurisdiccion</t>
        </is>
      </c>
      <c r="G1" t="inlineStr">
        <is>
          <t>i_tipoVenta</t>
        </is>
      </c>
      <c r="H1" s="2" t="inlineStr">
        <is>
          <t>i_mesFacturacion</t>
        </is>
      </c>
      <c r="I1" s="13" t="inlineStr">
        <is>
          <t>i_montoControl</t>
        </is>
      </c>
      <c r="J1" s="9" t="inlineStr">
        <is>
          <t>o_montoFacturado</t>
        </is>
      </c>
      <c r="K1" t="inlineStr">
        <is>
          <t>o_asiento</t>
        </is>
      </c>
    </row>
    <row r="2">
      <c r="A2" t="inlineStr">
        <is>
          <t>SI</t>
        </is>
      </c>
      <c r="B2" t="inlineStr">
        <is>
          <t>Factura A Webservice</t>
        </is>
      </c>
      <c r="C2" s="1" t="inlineStr">
        <is>
          <t>12/3/2026</t>
        </is>
      </c>
      <c r="D2" s="1" t="inlineStr">
        <is>
          <t>0003-00001690</t>
        </is>
      </c>
      <c r="E2" t="inlineStr">
        <is>
          <t>GRANAR S.A.C y F.</t>
        </is>
      </c>
      <c r="F2" t="inlineStr">
        <is>
          <t>Mendoza</t>
        </is>
      </c>
      <c r="G2" t="inlineStr">
        <is>
          <t>Otras ventas</t>
        </is>
      </c>
      <c r="H2" s="2" t="inlineStr">
        <is>
          <t>FEBRERO</t>
        </is>
      </c>
      <c r="I2" s="13" t="inlineStr">
        <is>
          <t>10372589</t>
        </is>
      </c>
      <c r="J2" t="inlineStr">
        <is>
          <t>10372589</t>
        </is>
      </c>
      <c r="K2" t="inlineStr">
        <is>
          <t>2026-VEN-264</t>
        </is>
      </c>
    </row>
    <row r="3">
      <c r="C3" s="1" t="n"/>
      <c r="D3" s="1" t="n"/>
      <c r="H3" s="2" t="n"/>
    </row>
    <row r="6">
      <c r="D6" s="3" t="n"/>
    </row>
    <row r="9">
      <c r="D9" s="3" t="n"/>
    </row>
    <row r="10">
      <c r="E10" s="3" t="n"/>
    </row>
  </sheetData>
  <autoFilter ref="B1:K2">
    <sortState ref="B2:K2">
      <sortCondition ref="F1:F2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D7" sqref="D7"/>
    </sheetView>
  </sheetViews>
  <sheetFormatPr baseColWidth="10" defaultRowHeight="15"/>
  <cols>
    <col width="33.5703125" bestFit="1" customWidth="1" min="1" max="1"/>
    <col width="15.5703125" bestFit="1" customWidth="1" style="11" min="2" max="2"/>
    <col width="15.5703125" bestFit="1" customWidth="1" min="3" max="4"/>
    <col width="14.5703125" bestFit="1" customWidth="1" min="5" max="7"/>
  </cols>
  <sheetData>
    <row r="1">
      <c r="A1" t="inlineStr">
        <is>
          <t>i_cliente</t>
        </is>
      </c>
      <c r="B1" s="11" t="inlineStr">
        <is>
          <t>controlTablas</t>
        </is>
      </c>
      <c r="C1" t="inlineStr">
        <is>
          <t>Fijo</t>
        </is>
      </c>
      <c r="D1" t="inlineStr">
        <is>
          <t>Variable</t>
        </is>
      </c>
      <c r="E1" t="inlineStr">
        <is>
          <t>Movilidad</t>
        </is>
      </c>
      <c r="F1" t="inlineStr">
        <is>
          <t>Recuperos</t>
        </is>
      </c>
      <c r="G1" t="inlineStr">
        <is>
          <t>Anticipos</t>
        </is>
      </c>
    </row>
    <row r="2">
      <c r="A2" t="inlineStr">
        <is>
          <t>FOA AGUAS DE ALTAMIRA</t>
        </is>
      </c>
      <c r="B2" s="16">
        <f>+C2+D2+E2-G2+F2</f>
        <v/>
      </c>
      <c r="C2" s="17">
        <f>SUMIF(conceptoFijo!$A:$A,A2,conceptoFijo!$J:$J)</f>
        <v/>
      </c>
      <c r="D2" s="17">
        <f>SUMIF(conceptoVariable!$A:$A,Controles!A2,conceptoVariable!$J:$J)</f>
        <v/>
      </c>
      <c r="E2" s="17">
        <f>SUMIF(conceptoMovilidad!$A:$A,A2,conceptoMovilidad!$I:$I)</f>
        <v/>
      </c>
      <c r="F2" s="17">
        <f>SUMIF(conceptoRecuperos!$B:$B,A2,conceptoRecuperos!$J:$J)</f>
        <v/>
      </c>
      <c r="G2" s="17">
        <f>SUMIFS(conceptoAnticipos!$J:$J,conceptoAnticipos!$B:$B,Controles!A2,conceptoAnticipos!$A:$A,"SI")</f>
        <v/>
      </c>
    </row>
    <row r="3">
      <c r="A3" t="inlineStr">
        <is>
          <t>GRANAR S.A.C y F. (AB)</t>
        </is>
      </c>
      <c r="B3" s="16">
        <f>+C3+D3+E3-G3+F3</f>
        <v/>
      </c>
      <c r="C3" s="17">
        <f>SUMIF(conceptoFijo!$A:$A,A3,conceptoFijo!$J:$J)</f>
        <v/>
      </c>
      <c r="D3" s="17">
        <f>SUMIF(conceptoVariable!$A:$A,Controles!A3,conceptoVariable!$J:$J)</f>
        <v/>
      </c>
      <c r="E3" s="17">
        <f>SUMIF(conceptoMovilidad!$A:$A,A3,conceptoMovilidad!$I:$I)</f>
        <v/>
      </c>
      <c r="F3" s="17">
        <f>SUMIF(conceptoRecuperos!$B:$B,A3,conceptoRecuperos!$J:$J)</f>
        <v/>
      </c>
      <c r="G3" s="17">
        <f>SUMIFS(conceptoAnticipos!$J:$J,conceptoAnticipos!$B:$B,Controles!A3,conceptoAnticipos!$A:$A,"SI")</f>
        <v/>
      </c>
    </row>
    <row r="4">
      <c r="A4" t="inlineStr">
        <is>
          <t>CABALGANDO SAFI</t>
        </is>
      </c>
      <c r="B4" s="16">
        <f>+C4+D4+E4-G4+F4</f>
        <v/>
      </c>
      <c r="C4" s="17">
        <f>SUMIF(conceptoFijo!$A:$A,A4,conceptoFijo!$J:$J)</f>
        <v/>
      </c>
      <c r="D4" s="17">
        <f>SUMIF(conceptoVariable!$A:$A,Controles!A4,conceptoVariable!$J:$J)</f>
        <v/>
      </c>
      <c r="E4" s="17">
        <f>SUMIF(conceptoMovilidad!$A:$A,A4,conceptoMovilidad!$I:$I)</f>
        <v/>
      </c>
      <c r="F4" s="17">
        <f>SUMIF(conceptoRecuperos!$B:$B,A4,conceptoRecuperos!$J:$J)</f>
        <v/>
      </c>
      <c r="G4" s="17">
        <f>SUMIFS(conceptoAnticipos!$J:$J,conceptoAnticipos!$B:$B,Controles!A4,conceptoAnticipos!$A:$A,"SI")</f>
        <v/>
      </c>
    </row>
    <row r="5">
      <c r="A5" t="inlineStr">
        <is>
          <t>GRANAR S.A.C y F.</t>
        </is>
      </c>
      <c r="B5" s="16">
        <f>+C5+D5+E5-G5+F5</f>
        <v/>
      </c>
      <c r="C5" s="17">
        <f>SUMIF(conceptoFijo!$A:$A,A5,conceptoFijo!$J:$J)</f>
        <v/>
      </c>
      <c r="D5" s="17">
        <f>SUMIF(conceptoVariable!$A:$A,Controles!A5,conceptoVariable!$J:$J)</f>
        <v/>
      </c>
      <c r="E5" s="17">
        <f>SUMIF(conceptoMovilidad!$A:$A,A5,conceptoMovilidad!$I:$I)</f>
        <v/>
      </c>
      <c r="F5" s="17">
        <f>SUMIF(conceptoRecuperos!$B:$B,A5,conceptoRecuperos!$J:$J)</f>
        <v/>
      </c>
      <c r="G5" s="17">
        <f>SUMIFS(conceptoAnticipos!$J:$J,conceptoAnticipos!$B:$B,Controles!A5,conceptoAnticipos!$A:$A,"SI")</f>
        <v/>
      </c>
    </row>
    <row r="6">
      <c r="A6" t="inlineStr">
        <is>
          <t>FOI TERRUÑOS DE LOS ANDES</t>
        </is>
      </c>
      <c r="B6" s="16">
        <f>+C6+D6+E6-G6+F6</f>
        <v/>
      </c>
      <c r="C6" s="17">
        <f>SUMIF(conceptoFijo!$A:$A,A6,conceptoFijo!$J:$J)</f>
        <v/>
      </c>
      <c r="D6" s="17">
        <f>SUMIF(conceptoVariable!$A:$A,Controles!A6,conceptoVariable!$J:$J)</f>
        <v/>
      </c>
      <c r="E6" s="17">
        <f>SUMIF(conceptoMovilidad!$A:$A,A6,conceptoMovilidad!$I:$I)</f>
        <v/>
      </c>
      <c r="F6" s="17">
        <f>SUMIF(conceptoRecuperos!$B:$B,A6,conceptoRecuperos!$J:$J)</f>
        <v/>
      </c>
      <c r="G6" s="17">
        <f>SUMIFS(conceptoAnticipos!$J:$J,conceptoAnticipos!$B:$B,Controles!A6,conceptoAnticipos!$A:$A,"SI")</f>
        <v/>
      </c>
    </row>
    <row r="7">
      <c r="A7" t="inlineStr">
        <is>
          <t>FINCA LAS MAGDALENAS S. A. S.</t>
        </is>
      </c>
      <c r="B7" s="16">
        <f>+C7+D7+E7-G7+F7</f>
        <v/>
      </c>
      <c r="C7" s="17">
        <f>SUMIF(conceptoFijo!$A:$A,A7,conceptoFijo!$J:$J)</f>
        <v/>
      </c>
      <c r="D7" s="17">
        <f>SUMIF(conceptoVariable!$A:$A,Controles!A7,conceptoVariable!$J:$J)</f>
        <v/>
      </c>
      <c r="E7" s="17">
        <f>SUMIF(conceptoMovilidad!$A:$A,A7,conceptoMovilidad!$I:$I)</f>
        <v/>
      </c>
      <c r="F7" s="17">
        <f>SUMIF(conceptoRecuperos!$B:$B,A7,conceptoRecuperos!$J:$J)</f>
        <v/>
      </c>
      <c r="G7" s="17">
        <f>SUMIFS(conceptoAnticipos!$J:$J,conceptoAnticipos!$B:$B,Controles!A7,conceptoAnticipos!$A:$A,"SI")</f>
        <v/>
      </c>
    </row>
    <row r="8">
      <c r="A8" t="inlineStr">
        <is>
          <t>LOS NATIVOS S.A.</t>
        </is>
      </c>
      <c r="B8" s="16">
        <f>+C8+D8+E8-G8+F8</f>
        <v/>
      </c>
      <c r="C8" s="17">
        <f>SUMIF(conceptoFijo!$A:$A,A8,conceptoFijo!$J:$J)</f>
        <v/>
      </c>
      <c r="D8" s="17">
        <f>SUMIF(conceptoVariable!$A:$A,Controles!A8,conceptoVariable!$J:$J)</f>
        <v/>
      </c>
      <c r="E8" s="17">
        <f>SUMIF(conceptoMovilidad!$A:$A,A8,conceptoMovilidad!$I:$I)</f>
        <v/>
      </c>
      <c r="F8" s="17">
        <f>SUMIF(conceptoRecuperos!$B:$B,A8,conceptoRecuperos!$J:$J)</f>
        <v/>
      </c>
      <c r="G8" s="17">
        <f>SUMIFS(conceptoAnticipos!$J:$J,conceptoAnticipos!$B:$B,Controles!A8,conceptoAnticipos!$A:$A,"SI")</f>
        <v/>
      </c>
    </row>
    <row r="9">
      <c r="A9" t="inlineStr">
        <is>
          <t>LLORENTE HNOS SA</t>
        </is>
      </c>
      <c r="B9" s="16">
        <f>+C9+D9+E9-G9+F9</f>
        <v/>
      </c>
      <c r="C9" s="17">
        <f>SUMIF(conceptoFijo!$A:$A,A9,conceptoFijo!$J:$J)</f>
        <v/>
      </c>
      <c r="D9" s="17">
        <f>SUMIF(conceptoVariable!$A:$A,Controles!A9,conceptoVariable!$J:$J)</f>
        <v/>
      </c>
      <c r="E9" s="17">
        <f>SUMIF(conceptoMovilidad!$A:$A,A9,conceptoMovilidad!$I:$I)</f>
        <v/>
      </c>
      <c r="F9" s="17">
        <f>SUMIF(conceptoRecuperos!$B:$B,A9,conceptoRecuperos!$J:$J)</f>
        <v/>
      </c>
      <c r="G9" s="17">
        <f>SUMIFS(conceptoAnticipos!$J:$J,conceptoAnticipos!$B:$B,Controles!A9,conceptoAnticipos!$A:$A,"SI")</f>
        <v/>
      </c>
    </row>
    <row r="10">
      <c r="A10" t="inlineStr">
        <is>
          <t>FINCAS Y BODEGAS MONTECHEZ S.A.</t>
        </is>
      </c>
      <c r="B10" s="16">
        <f>+C10+D10+E10-G10+F10</f>
        <v/>
      </c>
      <c r="C10" s="17">
        <f>SUMIF(conceptoFijo!$A:$A,A10,conceptoFijo!$J:$J)</f>
        <v/>
      </c>
      <c r="D10" s="17">
        <f>SUMIF(conceptoVariable!$A:$A,Controles!A10,conceptoVariable!$J:$J)</f>
        <v/>
      </c>
      <c r="E10" s="17">
        <f>SUMIF(conceptoMovilidad!$A:$A,A10,conceptoMovilidad!$I:$I)</f>
        <v/>
      </c>
      <c r="F10" s="17">
        <f>SUMIF(conceptoRecuperos!$B:$B,A10,conceptoRecuperos!$J:$J)</f>
        <v/>
      </c>
      <c r="G10" s="17">
        <f>SUMIFS(conceptoAnticipos!$J:$J,conceptoAnticipos!$B:$B,Controles!A10,conceptoAnticipos!$A:$A,"SI")</f>
        <v/>
      </c>
    </row>
    <row r="11">
      <c r="A11" t="inlineStr">
        <is>
          <t>TELLERIA JUAN GABRIEL</t>
        </is>
      </c>
      <c r="B11" s="16">
        <f>+C11+D11+E11-G11+F11</f>
        <v/>
      </c>
      <c r="C11" s="17">
        <f>SUMIF(conceptoFijo!$A:$A,A11,conceptoFijo!$J:$J)</f>
        <v/>
      </c>
      <c r="D11" s="17">
        <f>SUMIF(conceptoVariable!$A:$A,Controles!A11,conceptoVariable!$J:$J)</f>
        <v/>
      </c>
      <c r="E11" s="17">
        <f>SUMIF(conceptoMovilidad!$A:$A,A11,conceptoMovilidad!$I:$I)</f>
        <v/>
      </c>
      <c r="F11" s="17">
        <f>SUMIF(conceptoRecuperos!$B:$B,A11,conceptoRecuperos!$J:$J)</f>
        <v/>
      </c>
      <c r="G11" s="17">
        <f>SUMIFS(conceptoAnticipos!$J:$J,conceptoAnticipos!$B:$B,Controles!A11,conceptoAnticipos!$A:$A,"SI")</f>
        <v/>
      </c>
    </row>
    <row r="12">
      <c r="A12" t="inlineStr">
        <is>
          <t>AGRISUS SA</t>
        </is>
      </c>
      <c r="B12" s="16">
        <f>+C12+D12+E12-G12+F12</f>
        <v/>
      </c>
      <c r="C12" s="17">
        <f>SUMIF(conceptoFijo!$A:$A,A12,conceptoFijo!$J:$J)</f>
        <v/>
      </c>
      <c r="D12" s="17">
        <f>SUMIF(conceptoVariable!$A:$A,Controles!A12,conceptoVariable!$J:$J)</f>
        <v/>
      </c>
      <c r="E12" s="17">
        <f>SUMIF(conceptoMovilidad!$A:$A,A12,conceptoMovilidad!$I:$I)</f>
        <v/>
      </c>
      <c r="F12" s="17">
        <f>SUMIF(conceptoRecuperos!$B:$B,A12,conceptoRecuperos!$J:$J)</f>
        <v/>
      </c>
      <c r="G12" s="17">
        <f>SUMIFS(conceptoAnticipos!$J:$J,conceptoAnticipos!$B:$B,Controles!A12,conceptoAnticipos!$A:$A,"SI")</f>
        <v/>
      </c>
    </row>
    <row r="13">
      <c r="B13" s="18">
        <f>SUM(B2:B12)</f>
        <v/>
      </c>
      <c r="C13" s="19">
        <f>SUM(C2:C12)</f>
        <v/>
      </c>
      <c r="D13" s="19">
        <f>SUM(D2:D12)</f>
        <v/>
      </c>
      <c r="E13" s="19">
        <f>SUM(E2:E12)</f>
        <v/>
      </c>
      <c r="F13" s="19">
        <f>SUM(F2:F12)</f>
        <v/>
      </c>
      <c r="G13" s="19">
        <f>SUM(G2:G12)</f>
        <v/>
      </c>
    </row>
  </sheetData>
  <autoFilter ref="A1:G1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3">
    <outlinePr summaryBelow="1" summaryRight="1"/>
    <pageSetUpPr/>
  </sheetPr>
  <dimension ref="A1:J3"/>
  <sheetViews>
    <sheetView workbookViewId="0">
      <selection activeCell="E9" sqref="E9"/>
    </sheetView>
  </sheetViews>
  <sheetFormatPr baseColWidth="10" defaultRowHeight="15"/>
  <cols>
    <col width="33.5703125" bestFit="1" customWidth="1" min="1" max="1"/>
    <col width="13.42578125" bestFit="1" customWidth="1" min="2" max="2"/>
    <col width="18.7109375" bestFit="1" customWidth="1" min="3" max="3"/>
    <col width="12" bestFit="1" customWidth="1" min="4" max="4"/>
    <col width="14.5703125" bestFit="1" customWidth="1" style="7" min="5" max="5"/>
    <col width="16.140625" bestFit="1" customWidth="1" min="6" max="6"/>
    <col width="10.28515625" bestFit="1" customWidth="1" min="7" max="7"/>
    <col width="10.7109375" bestFit="1" customWidth="1" min="8" max="8"/>
    <col width="16.7109375" bestFit="1" customWidth="1" min="9" max="9"/>
    <col width="17" bestFit="1" customWidth="1" style="17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6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17" t="inlineStr">
        <is>
          <t>formatoNumero</t>
        </is>
      </c>
    </row>
    <row r="2">
      <c r="A2" t="inlineStr">
        <is>
          <t>GRANAR S.A.C y F.</t>
        </is>
      </c>
      <c r="B2" t="inlineStr">
        <is>
          <t>altamira</t>
        </is>
      </c>
      <c r="C2" t="inlineStr">
        <is>
          <t>la peregrina</t>
        </is>
      </c>
      <c r="D2" t="n">
        <v>0.105</v>
      </c>
      <c r="E2" s="7" t="inlineStr">
        <is>
          <t>1430821,03</t>
        </is>
      </c>
      <c r="F2" t="inlineStr">
        <is>
          <t>SS FINCA (LN)</t>
        </is>
      </c>
      <c r="G2" t="inlineStr">
        <is>
          <t>Concepto</t>
        </is>
      </c>
      <c r="H2" t="n">
        <v>1</v>
      </c>
      <c r="I2" s="2" t="inlineStr">
        <is>
          <t>414001001</t>
        </is>
      </c>
      <c r="J2" s="17">
        <f>VALUE(E2)</f>
        <v/>
      </c>
    </row>
    <row r="3">
      <c r="A3" t="inlineStr">
        <is>
          <t>GRANAR S.A.C y F.</t>
        </is>
      </c>
      <c r="B3" t="inlineStr">
        <is>
          <t>altamira</t>
        </is>
      </c>
      <c r="C3" t="inlineStr">
        <is>
          <t>la peregrina</t>
        </is>
      </c>
      <c r="D3" t="n">
        <v>0.21</v>
      </c>
      <c r="E3" s="7" t="inlineStr">
        <is>
          <t>2382371,71</t>
        </is>
      </c>
      <c r="F3" t="inlineStr">
        <is>
          <t>SS FINCA (LN)</t>
        </is>
      </c>
      <c r="G3" t="inlineStr">
        <is>
          <t>Concepto</t>
        </is>
      </c>
      <c r="H3" t="n">
        <v>1</v>
      </c>
      <c r="I3" s="2" t="inlineStr">
        <is>
          <t>414001001</t>
        </is>
      </c>
      <c r="J3" s="17">
        <f>VALUE(E3)</f>
        <v/>
      </c>
    </row>
  </sheetData>
  <autoFilter ref="A1:J3">
    <sortState ref="A2:J3">
      <sortCondition ref="A1:A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Hoja4">
    <outlinePr summaryBelow="1" summaryRight="1"/>
    <pageSetUpPr/>
  </sheetPr>
  <dimension ref="A1:J6"/>
  <sheetViews>
    <sheetView workbookViewId="0">
      <selection activeCell="E10" sqref="E10"/>
    </sheetView>
  </sheetViews>
  <sheetFormatPr baseColWidth="10" defaultRowHeight="15"/>
  <cols>
    <col width="33.5703125" bestFit="1" customWidth="1" min="1" max="1"/>
    <col width="13.42578125" bestFit="1" customWidth="1" min="2" max="2"/>
    <col width="15.5703125" bestFit="1" customWidth="1" min="3" max="3"/>
    <col width="9.7109375" bestFit="1" customWidth="1" min="4" max="4"/>
    <col width="14" bestFit="1" customWidth="1" style="7" min="5" max="5"/>
    <col width="19" bestFit="1" customWidth="1" min="6" max="6"/>
    <col width="10.28515625" bestFit="1" customWidth="1" min="7" max="7"/>
    <col width="10.7109375" bestFit="1" customWidth="1" min="8" max="8"/>
    <col width="16.7109375" bestFit="1" customWidth="1" min="9" max="9"/>
    <col width="17" bestFit="1" customWidth="1" style="3" min="10" max="10"/>
  </cols>
  <sheetData>
    <row r="1">
      <c r="A1" s="4" t="inlineStr">
        <is>
          <t>t_cliente</t>
        </is>
      </c>
      <c r="B1" s="4" t="inlineStr">
        <is>
          <t>t_centroCosto</t>
        </is>
      </c>
      <c r="C1" s="4" t="inlineStr">
        <is>
          <t>i_finca</t>
        </is>
      </c>
      <c r="D1" s="4" t="inlineStr">
        <is>
          <t>t_alicuota</t>
        </is>
      </c>
      <c r="E1" s="8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17" t="inlineStr">
        <is>
          <t>formatoNumero</t>
        </is>
      </c>
    </row>
    <row r="2">
      <c r="A2" t="inlineStr">
        <is>
          <t>GRANAR S.A.C y F.</t>
        </is>
      </c>
      <c r="B2" t="inlineStr">
        <is>
          <t>altamira</t>
        </is>
      </c>
      <c r="C2" t="inlineStr">
        <is>
          <t>la peregrina</t>
        </is>
      </c>
      <c r="D2" t="n">
        <v>0.21</v>
      </c>
      <c r="E2" s="7" t="inlineStr">
        <is>
          <t>4891208,48</t>
        </is>
      </c>
      <c r="F2" t="inlineStr">
        <is>
          <t>LABORES FINCA (LN)</t>
        </is>
      </c>
      <c r="G2" t="inlineStr">
        <is>
          <t>Concepto</t>
        </is>
      </c>
      <c r="H2" t="n">
        <v>1</v>
      </c>
      <c r="I2" s="2" t="inlineStr">
        <is>
          <t>414001003</t>
        </is>
      </c>
      <c r="J2" s="17">
        <f>VALUE(E2)</f>
        <v/>
      </c>
    </row>
    <row r="3">
      <c r="I3" s="2" t="n"/>
      <c r="J3" s="17" t="n"/>
    </row>
    <row r="4">
      <c r="I4" s="2" t="n"/>
      <c r="J4" s="17" t="n"/>
    </row>
    <row r="5">
      <c r="I5" s="2" t="n"/>
      <c r="J5" s="17" t="n"/>
    </row>
    <row r="6">
      <c r="I6" s="2" t="n"/>
      <c r="J6" s="17" t="n"/>
    </row>
  </sheetData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 codeName="Hoja5">
    <outlinePr summaryBelow="1" summaryRight="1"/>
    <pageSetUpPr/>
  </sheetPr>
  <dimension ref="A1:K3"/>
  <sheetViews>
    <sheetView workbookViewId="0">
      <selection activeCell="D7" sqref="D7"/>
    </sheetView>
  </sheetViews>
  <sheetFormatPr baseColWidth="10" defaultRowHeight="15"/>
  <cols>
    <col width="33.5703125" bestFit="1" customWidth="1" min="1" max="1"/>
    <col width="22.140625" bestFit="1" customWidth="1" min="2" max="2"/>
    <col width="9.7109375" bestFit="1" customWidth="1" min="3" max="3"/>
    <col width="14" bestFit="1" customWidth="1" style="9" min="4" max="4"/>
    <col width="28.5703125" bestFit="1" customWidth="1" min="5" max="5"/>
    <col width="10.28515625" bestFit="1" customWidth="1" min="6" max="6"/>
    <col width="10.7109375" bestFit="1" customWidth="1" min="7" max="7"/>
    <col width="16.7109375" bestFit="1" customWidth="1" min="8" max="8"/>
    <col width="17" bestFit="1" customWidth="1" min="9" max="9"/>
  </cols>
  <sheetData>
    <row r="1">
      <c r="A1" s="4" t="inlineStr">
        <is>
          <t>t_cliente</t>
        </is>
      </c>
      <c r="B1" s="4" t="inlineStr">
        <is>
          <t>i_centroCosto</t>
        </is>
      </c>
      <c r="C1" s="4" t="inlineStr">
        <is>
          <t>i_alicuota</t>
        </is>
      </c>
      <c r="D1" s="8" t="inlineStr">
        <is>
          <t>i_netoGravado</t>
        </is>
      </c>
      <c r="E1" t="inlineStr">
        <is>
          <t>i_descripcion</t>
        </is>
      </c>
      <c r="F1" t="inlineStr">
        <is>
          <t>i_tipoItem</t>
        </is>
      </c>
      <c r="G1" t="inlineStr">
        <is>
          <t>i_unidades</t>
        </is>
      </c>
      <c r="H1" t="inlineStr">
        <is>
          <t>i_cuentaContable</t>
        </is>
      </c>
      <c r="I1" s="17" t="inlineStr">
        <is>
          <t>formatoNumero</t>
        </is>
      </c>
    </row>
    <row r="2">
      <c r="A2" t="inlineStr">
        <is>
          <t>GRANAR S.A.C y F.</t>
        </is>
      </c>
      <c r="B2" t="inlineStr">
        <is>
          <t>ADM-ADMINISTRACION</t>
        </is>
      </c>
      <c r="C2" t="inlineStr">
        <is>
          <t>IVA (21%)</t>
        </is>
      </c>
      <c r="D2" s="7" t="inlineStr">
        <is>
          <t>592149,04</t>
        </is>
      </c>
      <c r="E2" t="inlineStr">
        <is>
          <t>SS MOVILIDAD MS-EG-MM (LN)</t>
        </is>
      </c>
      <c r="F2" t="inlineStr">
        <is>
          <t>Concepto</t>
        </is>
      </c>
      <c r="G2" t="n">
        <v>1</v>
      </c>
      <c r="H2" s="2" t="inlineStr">
        <is>
          <t>414001001</t>
        </is>
      </c>
      <c r="I2" s="17">
        <f>VALUE(D2)</f>
        <v/>
      </c>
      <c r="K2" s="7" t="n"/>
    </row>
    <row r="3">
      <c r="H3" s="2" t="n"/>
      <c r="I3" s="1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Hoja6">
    <outlinePr summaryBelow="1" summaryRight="1"/>
    <pageSetUpPr/>
  </sheetPr>
  <dimension ref="A1:J2"/>
  <sheetViews>
    <sheetView workbookViewId="0">
      <selection activeCell="E11" sqref="E11"/>
    </sheetView>
  </sheetViews>
  <sheetFormatPr baseColWidth="10" defaultColWidth="11.5703125" defaultRowHeight="15"/>
  <cols>
    <col width="33.5703125" bestFit="1" customWidth="1" min="2" max="2"/>
    <col width="33.5703125" customWidth="1" min="3" max="3"/>
    <col width="9.7109375" bestFit="1" customWidth="1" min="4" max="4"/>
    <col width="14" bestFit="1" customWidth="1" style="9" min="5" max="5"/>
    <col width="36" bestFit="1" customWidth="1" min="6" max="6"/>
    <col width="16.7109375" bestFit="1" customWidth="1" min="9" max="9"/>
    <col width="17" bestFit="1" customWidth="1" min="10" max="10"/>
  </cols>
  <sheetData>
    <row r="1">
      <c r="A1" t="inlineStr">
        <is>
          <t>i_factura</t>
        </is>
      </c>
      <c r="B1" s="4" t="inlineStr">
        <is>
          <t>t_cliente</t>
        </is>
      </c>
      <c r="C1" s="4" t="inlineStr">
        <is>
          <t>i_centroCosto</t>
        </is>
      </c>
      <c r="D1" s="4" t="inlineStr">
        <is>
          <t>i_alicuota</t>
        </is>
      </c>
      <c r="E1" s="8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17" t="inlineStr">
        <is>
          <t>formatoNumero</t>
        </is>
      </c>
    </row>
    <row r="2">
      <c r="A2" t="inlineStr">
        <is>
          <t>NO</t>
        </is>
      </c>
      <c r="B2" t="inlineStr">
        <is>
          <t>GRANAR S.A.C y F.</t>
        </is>
      </c>
      <c r="C2" t="inlineStr">
        <is>
          <t>2-MODULO ALTAMIRA</t>
        </is>
      </c>
      <c r="D2" t="inlineStr">
        <is>
          <t>IVA (21%)</t>
        </is>
      </c>
      <c r="F2" t="inlineStr">
        <is>
          <t>AJUSTE ANTICIPO SACSA (LN)</t>
        </is>
      </c>
      <c r="G2" t="inlineStr">
        <is>
          <t>Concepto</t>
        </is>
      </c>
      <c r="H2" t="n">
        <v>1</v>
      </c>
      <c r="I2" s="2" t="inlineStr">
        <is>
          <t>570101009</t>
        </is>
      </c>
      <c r="J2" s="17">
        <f>VALUE(E2)</f>
        <v/>
      </c>
    </row>
  </sheetData>
  <autoFilter ref="A1:J2">
    <sortState ref="A2:J2">
      <sortCondition ref="E1:E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Hoja7">
    <outlinePr summaryBelow="1" summaryRight="1"/>
    <pageSetUpPr/>
  </sheetPr>
  <dimension ref="A1:J14"/>
  <sheetViews>
    <sheetView workbookViewId="0">
      <selection activeCell="F34" sqref="F34"/>
    </sheetView>
  </sheetViews>
  <sheetFormatPr baseColWidth="10" defaultColWidth="11.5703125" defaultRowHeight="15"/>
  <cols>
    <col width="33.5703125" bestFit="1" customWidth="1" min="2" max="2"/>
    <col width="21.85546875" bestFit="1" customWidth="1" min="3" max="3"/>
    <col width="9.7109375" bestFit="1" customWidth="1" min="4" max="4"/>
    <col width="14" bestFit="1" customWidth="1" style="9" min="5" max="5"/>
    <col width="28.42578125" bestFit="1" customWidth="1" min="6" max="6"/>
    <col width="16.7109375" bestFit="1" customWidth="1" min="9" max="9"/>
    <col width="17" bestFit="1" customWidth="1" min="10" max="10"/>
  </cols>
  <sheetData>
    <row r="1">
      <c r="A1" t="inlineStr">
        <is>
          <t>i_anticipo</t>
        </is>
      </c>
      <c r="B1" s="4" t="inlineStr">
        <is>
          <t>t_cliente</t>
        </is>
      </c>
      <c r="C1" s="4" t="inlineStr">
        <is>
          <t>i_centroCosto</t>
        </is>
      </c>
      <c r="D1" s="4" t="inlineStr">
        <is>
          <t>i_alicuota</t>
        </is>
      </c>
      <c r="E1" s="8" t="inlineStr">
        <is>
          <t>i_netoGravado</t>
        </is>
      </c>
      <c r="F1" t="inlineStr">
        <is>
          <t>i_descripcion</t>
        </is>
      </c>
      <c r="G1" t="inlineStr">
        <is>
          <t>i_tipoItem</t>
        </is>
      </c>
      <c r="H1" t="inlineStr">
        <is>
          <t>i_unidades</t>
        </is>
      </c>
      <c r="I1" t="inlineStr">
        <is>
          <t>i_cuentaContable</t>
        </is>
      </c>
      <c r="J1" s="17" t="inlineStr">
        <is>
          <t>formatoNumero</t>
        </is>
      </c>
    </row>
    <row r="2">
      <c r="A2" t="inlineStr">
        <is>
          <t>SI</t>
        </is>
      </c>
      <c r="B2" t="inlineStr">
        <is>
          <t>GRANAR S.A.C y F.</t>
        </is>
      </c>
      <c r="C2" t="inlineStr">
        <is>
          <t>EST-ESTRUCTURA</t>
        </is>
      </c>
      <c r="D2" t="inlineStr">
        <is>
          <t>IVA (21%)</t>
        </is>
      </c>
      <c r="E2" s="9" t="inlineStr">
        <is>
          <t>600000</t>
        </is>
      </c>
      <c r="F2" s="5" t="inlineStr">
        <is>
          <t xml:space="preserve">ANTICIPO </t>
        </is>
      </c>
      <c r="G2" t="inlineStr">
        <is>
          <t>Descuento</t>
        </is>
      </c>
      <c r="H2" t="n">
        <v>1</v>
      </c>
      <c r="I2" s="2" t="inlineStr">
        <is>
          <t>570101009</t>
        </is>
      </c>
      <c r="J2" s="17">
        <f>VALUE(E2)</f>
        <v/>
      </c>
    </row>
    <row r="14">
      <c r="F14" s="3" t="n"/>
    </row>
  </sheetData>
  <autoFilter ref="B1:I1">
    <sortState ref="B2:I9">
      <sortCondition ref="B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Hoja8">
    <outlinePr summaryBelow="1" summaryRight="1"/>
    <pageSetUpPr/>
  </sheetPr>
  <dimension ref="A1:C3"/>
  <sheetViews>
    <sheetView workbookViewId="0">
      <selection activeCell="L17" sqref="L17"/>
    </sheetView>
  </sheetViews>
  <sheetFormatPr baseColWidth="10" defaultRowHeight="15"/>
  <sheetData>
    <row r="1">
      <c r="A1" t="inlineStr">
        <is>
          <t>t_alicuota</t>
        </is>
      </c>
      <c r="B1" t="inlineStr">
        <is>
          <t>i_iva</t>
        </is>
      </c>
      <c r="C1" s="3" t="n"/>
    </row>
    <row r="2">
      <c r="A2" t="n">
        <v>0.105</v>
      </c>
      <c r="B2" t="inlineStr">
        <is>
          <t>IVA (10.5%)</t>
        </is>
      </c>
      <c r="C2" s="3" t="n"/>
    </row>
    <row r="3">
      <c r="A3" t="n">
        <v>0.21</v>
      </c>
      <c r="B3" t="inlineStr">
        <is>
          <t>IVA (21%)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Hoja9">
    <outlinePr summaryBelow="1" summaryRight="1"/>
    <pageSetUpPr/>
  </sheetPr>
  <dimension ref="A1:B3"/>
  <sheetViews>
    <sheetView workbookViewId="0">
      <selection activeCell="G16" sqref="G16"/>
    </sheetView>
  </sheetViews>
  <sheetFormatPr baseColWidth="10" defaultRowHeight="15"/>
  <cols>
    <col width="13.42578125" bestFit="1" customWidth="1" min="1" max="1"/>
    <col width="21.85546875" bestFit="1" customWidth="1" min="2" max="2"/>
  </cols>
  <sheetData>
    <row r="1">
      <c r="A1" t="inlineStr">
        <is>
          <t>t_centroCosto</t>
        </is>
      </c>
      <c r="B1" t="inlineStr">
        <is>
          <t>i_centroCosto</t>
        </is>
      </c>
    </row>
    <row r="2">
      <c r="A2" t="inlineStr">
        <is>
          <t>altamira</t>
        </is>
      </c>
      <c r="B2" t="inlineStr">
        <is>
          <t>2-MODULO ALTAMIRA</t>
        </is>
      </c>
    </row>
    <row r="3">
      <c r="A3" t="inlineStr">
        <is>
          <t>ugarteche</t>
        </is>
      </c>
      <c r="B3" t="inlineStr">
        <is>
          <t>1-MODULO UGARTECHE</t>
        </is>
      </c>
    </row>
  </sheetData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 codeName="Hoja10">
    <outlinePr summaryBelow="1" summaryRight="1"/>
    <pageSetUpPr/>
  </sheetPr>
  <dimension ref="A1:B13"/>
  <sheetViews>
    <sheetView workbookViewId="0">
      <selection activeCell="A2" sqref="A2:A13"/>
    </sheetView>
  </sheetViews>
  <sheetFormatPr baseColWidth="10" defaultRowHeight="15"/>
  <cols>
    <col width="33.5703125" bestFit="1" customWidth="1" min="1" max="1"/>
    <col width="25.42578125" bestFit="1" customWidth="1" min="2" max="3"/>
  </cols>
  <sheetData>
    <row r="1">
      <c r="A1" t="inlineStr">
        <is>
          <t>i_cliente</t>
        </is>
      </c>
      <c r="B1" t="inlineStr">
        <is>
          <t>t_cliente</t>
        </is>
      </c>
    </row>
    <row r="2">
      <c r="A2" t="inlineStr">
        <is>
          <t>FOA AGUAS DE ALTAMIRA</t>
        </is>
      </c>
      <c r="B2" t="inlineStr">
        <is>
          <t>FOA Aguas de Altamira</t>
        </is>
      </c>
    </row>
    <row r="3">
      <c r="A3" t="inlineStr">
        <is>
          <t>FOI TERRUÑOS DE LOS ANDES</t>
        </is>
      </c>
      <c r="B3" t="inlineStr">
        <is>
          <t>FOI TerruÃ±os de los Andes</t>
        </is>
      </c>
    </row>
    <row r="4">
      <c r="A4" t="inlineStr">
        <is>
          <t>GRANAR S.A.C y F.</t>
        </is>
      </c>
      <c r="B4" t="inlineStr">
        <is>
          <t>Granar SACyF</t>
        </is>
      </c>
    </row>
    <row r="5">
      <c r="A5" t="inlineStr">
        <is>
          <t>LLORENTE HNOS SA</t>
        </is>
      </c>
      <c r="B5" t="inlineStr">
        <is>
          <t>Llorente Hnos SA</t>
        </is>
      </c>
    </row>
    <row r="6">
      <c r="A6" t="inlineStr">
        <is>
          <t>LOS NATIVOS S.A.</t>
        </is>
      </c>
      <c r="B6" t="inlineStr">
        <is>
          <t>Los Nativos SA</t>
        </is>
      </c>
    </row>
    <row r="7">
      <c r="A7" t="inlineStr">
        <is>
          <t>FINCAS Y BODEGAS MONTECHEZ S.A.</t>
        </is>
      </c>
      <c r="B7" t="inlineStr">
        <is>
          <t>Montechez</t>
        </is>
      </c>
    </row>
    <row r="8">
      <c r="A8" t="inlineStr">
        <is>
          <t>FINCA LAS MAGDALENAS S. A. S.</t>
        </is>
      </c>
      <c r="B8" t="inlineStr">
        <is>
          <t>Sona Aldo Guillermo</t>
        </is>
      </c>
    </row>
    <row r="9">
      <c r="A9" t="inlineStr">
        <is>
          <t>TELLERIA JUAN GABRIEL</t>
        </is>
      </c>
      <c r="B9" t="inlineStr">
        <is>
          <t>Telleria Juan Gabriel</t>
        </is>
      </c>
    </row>
    <row r="10">
      <c r="A10" t="inlineStr">
        <is>
          <t>AGRISUS SA</t>
        </is>
      </c>
      <c r="B10" t="inlineStr">
        <is>
          <t>Agrisus</t>
        </is>
      </c>
    </row>
    <row r="11">
      <c r="A11" t="inlineStr">
        <is>
          <t xml:space="preserve">A &amp; T Y ASOCIADOS SA </t>
        </is>
      </c>
      <c r="B11" t="inlineStr">
        <is>
          <t>AyT</t>
        </is>
      </c>
    </row>
    <row r="12">
      <c r="A12" t="inlineStr">
        <is>
          <t>CABALGANDO SAFI</t>
        </is>
      </c>
      <c r="B12" t="inlineStr">
        <is>
          <t>Cabalgando</t>
        </is>
      </c>
    </row>
    <row r="13">
      <c r="A13" t="inlineStr">
        <is>
          <t>GRANAR S.A.C y F.</t>
        </is>
      </c>
      <c r="B13" t="inlineStr">
        <is>
          <t>Granar SACyF (AB)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Hoja11">
    <outlinePr summaryBelow="1" summaryRight="1"/>
    <pageSetUpPr/>
  </sheetPr>
  <dimension ref="A1:D15"/>
  <sheetViews>
    <sheetView workbookViewId="0">
      <selection activeCell="A6" sqref="A6"/>
    </sheetView>
  </sheetViews>
  <sheetFormatPr baseColWidth="10" defaultRowHeight="15"/>
  <cols>
    <col width="37.85546875" bestFit="1" customWidth="1" min="1" max="1"/>
    <col width="31" bestFit="1" customWidth="1" min="3" max="3"/>
  </cols>
  <sheetData>
    <row r="1">
      <c r="A1" t="inlineStr">
        <is>
          <t>TipoFactura</t>
        </is>
      </c>
      <c r="B1" t="inlineStr">
        <is>
          <t>IVA</t>
        </is>
      </c>
      <c r="C1" t="inlineStr">
        <is>
          <t>CentroCostos</t>
        </is>
      </c>
      <c r="D1" t="inlineStr">
        <is>
          <t>TipoItem</t>
        </is>
      </c>
    </row>
    <row r="2">
      <c r="A2" t="inlineStr">
        <is>
          <t>Factura A</t>
        </is>
      </c>
      <c r="B2" t="inlineStr">
        <is>
          <t>IVA (10.5%)</t>
        </is>
      </c>
      <c r="C2" t="inlineStr">
        <is>
          <t>1-MODULO UGARTECHE</t>
        </is>
      </c>
      <c r="D2" t="inlineStr">
        <is>
          <t>Concepto</t>
        </is>
      </c>
    </row>
    <row r="3">
      <c r="A3" t="inlineStr">
        <is>
          <t>Factura A Webservice</t>
        </is>
      </c>
      <c r="B3" t="inlineStr">
        <is>
          <t>IVA (21%)</t>
        </is>
      </c>
      <c r="C3" t="inlineStr">
        <is>
          <t>2-MODULO ALTAMIRA</t>
        </is>
      </c>
      <c r="D3" t="inlineStr">
        <is>
          <t>Descuento</t>
        </is>
      </c>
    </row>
    <row r="4">
      <c r="A4" t="inlineStr">
        <is>
          <t>Factura Crédito Electrónica A</t>
        </is>
      </c>
      <c r="C4" t="inlineStr">
        <is>
          <t>3-MOVILIDAD MARIANO SAVINA</t>
        </is>
      </c>
    </row>
    <row r="5">
      <c r="A5" t="inlineStr">
        <is>
          <t>Factura Crédito Electrónica A Webservice</t>
        </is>
      </c>
      <c r="C5" t="inlineStr">
        <is>
          <t>4-MOVILIDAD LEANDRO SAVINA</t>
        </is>
      </c>
    </row>
    <row r="6">
      <c r="A6" t="inlineStr">
        <is>
          <t>Nota de Crédito A</t>
        </is>
      </c>
      <c r="C6" t="inlineStr">
        <is>
          <t>5-MOVILIDAD ESTEBAN GAMUNDI</t>
        </is>
      </c>
    </row>
    <row r="7">
      <c r="A7" t="inlineStr">
        <is>
          <t>Nota de Crédito A Webservice</t>
        </is>
      </c>
      <c r="C7" t="inlineStr">
        <is>
          <t>6-FOI TERRUÑOS DE LOS ANDES</t>
        </is>
      </c>
    </row>
    <row r="8">
      <c r="C8" t="inlineStr">
        <is>
          <t>7-TELLERIA</t>
        </is>
      </c>
    </row>
    <row r="9">
      <c r="C9" t="inlineStr">
        <is>
          <t>8-SONA</t>
        </is>
      </c>
    </row>
    <row r="10">
      <c r="C10" t="inlineStr">
        <is>
          <t>9-LLORENTE</t>
        </is>
      </c>
    </row>
    <row r="11">
      <c r="C11" t="inlineStr">
        <is>
          <t>10-GRANAR</t>
        </is>
      </c>
    </row>
    <row r="12">
      <c r="C12" t="inlineStr">
        <is>
          <t>11-LOS NATIVOS</t>
        </is>
      </c>
    </row>
    <row r="13">
      <c r="C13" t="inlineStr">
        <is>
          <t>12-FOA AGUAS DE ALTAMIRA</t>
        </is>
      </c>
    </row>
    <row r="14">
      <c r="C14" t="inlineStr">
        <is>
          <t>ADM-ADMINISTRACION</t>
        </is>
      </c>
    </row>
    <row r="15">
      <c r="C15" t="inlineStr">
        <is>
          <t>EST-ESTRUCTURA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Alanis, Pablo</dc:creator>
  <dcterms:created xsi:type="dcterms:W3CDTF">2024-02-15T21:25:02Z</dcterms:created>
  <dcterms:modified xsi:type="dcterms:W3CDTF">2026-03-12T16:41:21Z</dcterms:modified>
  <cp:lastModifiedBy>Pablo Alanis</cp:lastModifiedBy>
</cp:coreProperties>
</file>